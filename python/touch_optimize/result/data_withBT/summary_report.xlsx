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VScode\example\python\touch_optimize\result\data_withBT\"/>
    </mc:Choice>
  </mc:AlternateContent>
  <xr:revisionPtr revIDLastSave="0" documentId="13_ncr:9_{D2D6CF6B-7936-4570-A515-70106A4DF0E8}" xr6:coauthVersionLast="47" xr6:coauthVersionMax="47" xr10:uidLastSave="{00000000-0000-0000-0000-000000000000}"/>
  <bookViews>
    <workbookView xWindow="33045" yWindow="2340" windowWidth="25215" windowHeight="13470" activeTab="1" xr2:uid="{1EBFC528-1FDF-4FEB-9969-93BA8862EBD6}"/>
  </bookViews>
  <sheets>
    <sheet name="summary_report" sheetId="1" r:id="rId1"/>
    <sheet name="summary_report (2)" sheetId="2" r:id="rId2"/>
  </sheets>
  <calcPr calcId="0"/>
</workbook>
</file>

<file path=xl/calcChain.xml><?xml version="1.0" encoding="utf-8"?>
<calcChain xmlns="http://schemas.openxmlformats.org/spreadsheetml/2006/main">
  <c r="B13" i="2" l="1"/>
  <c r="C13" i="2"/>
  <c r="D13" i="2"/>
  <c r="E13" i="2"/>
  <c r="F13" i="2"/>
  <c r="G13" i="2"/>
  <c r="H13" i="2"/>
  <c r="I13" i="2"/>
  <c r="J13" i="2"/>
  <c r="K13" i="2"/>
  <c r="L13" i="2"/>
  <c r="M13" i="2"/>
  <c r="B9" i="2"/>
  <c r="C9" i="2"/>
  <c r="D9" i="2"/>
  <c r="E9" i="2"/>
  <c r="F9" i="2"/>
  <c r="G9" i="2"/>
  <c r="H9" i="2"/>
  <c r="I9" i="2"/>
  <c r="J9" i="2"/>
  <c r="K9" i="2"/>
  <c r="L9" i="2"/>
  <c r="M9" i="2"/>
  <c r="B5" i="2"/>
  <c r="C5" i="2"/>
  <c r="D5" i="2"/>
  <c r="E5" i="2"/>
  <c r="F5" i="2"/>
  <c r="G5" i="2"/>
  <c r="H5" i="2"/>
  <c r="I5" i="2"/>
  <c r="J5" i="2"/>
  <c r="K5" i="2"/>
  <c r="L5" i="2"/>
  <c r="M5" i="2"/>
</calcChain>
</file>

<file path=xl/sharedStrings.xml><?xml version="1.0" encoding="utf-8"?>
<sst xmlns="http://schemas.openxmlformats.org/spreadsheetml/2006/main" count="59" uniqueCount="41">
  <si>
    <t>file_name</t>
  </si>
  <si>
    <t>统计</t>
  </si>
  <si>
    <t>统计</t>
    <phoneticPr fontId="18" type="noConversion"/>
  </si>
  <si>
    <t>beisi1_BT</t>
  </si>
  <si>
    <t>beisi2_BT</t>
  </si>
  <si>
    <t>beisi3_BT</t>
  </si>
  <si>
    <t>beisi4_BT</t>
  </si>
  <si>
    <t>beisi5_BT</t>
  </si>
  <si>
    <t>glass1_BT</t>
  </si>
  <si>
    <t>glass2_BT</t>
  </si>
  <si>
    <t>glass3_BT</t>
  </si>
  <si>
    <t>glass4_BT</t>
  </si>
  <si>
    <t>glass5_BT</t>
  </si>
  <si>
    <t>maila1_BT</t>
  </si>
  <si>
    <t>maila2_BT</t>
  </si>
  <si>
    <t>maila3_BT</t>
  </si>
  <si>
    <t>maila4_BT</t>
  </si>
  <si>
    <t>maila5_BT</t>
  </si>
  <si>
    <t>平均刷新率</t>
  </si>
  <si>
    <t>最小刷新间隔</t>
  </si>
  <si>
    <t>最大刷新间隔</t>
  </si>
  <si>
    <t>刷新间隔标准差</t>
  </si>
  <si>
    <t>丢包次数</t>
  </si>
  <si>
    <t>丢包率</t>
  </si>
  <si>
    <t>丢包判定阈值</t>
  </si>
  <si>
    <t>平均处理延迟</t>
  </si>
  <si>
    <t>最大处理延迟</t>
  </si>
  <si>
    <t>速度变异系数</t>
  </si>
  <si>
    <t>加速度标准差</t>
  </si>
  <si>
    <t>角度变化标准差</t>
  </si>
  <si>
    <t>原始数据点</t>
  </si>
  <si>
    <t>有效数据点</t>
  </si>
  <si>
    <t>测试总时长</t>
  </si>
  <si>
    <t>beisi1_BT</t>
    <phoneticPr fontId="18" type="noConversion"/>
  </si>
  <si>
    <t>beisi2_BT</t>
    <phoneticPr fontId="18" type="noConversion"/>
  </si>
  <si>
    <t>beisi3_BT</t>
    <phoneticPr fontId="18" type="noConversion"/>
  </si>
  <si>
    <t>glass2_BT</t>
    <phoneticPr fontId="18" type="noConversion"/>
  </si>
  <si>
    <t>glass3_BT</t>
    <phoneticPr fontId="18" type="noConversion"/>
  </si>
  <si>
    <t>glass4_BT</t>
    <phoneticPr fontId="18" type="noConversion"/>
  </si>
  <si>
    <t>maila4_BT</t>
    <phoneticPr fontId="18" type="noConversion"/>
  </si>
  <si>
    <t>文件名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</si>
</sst>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165F-198F-4B53-AA8D-28F60FA7DD22}">
  <dimension ref="A1:P19"/>
  <sheetViews>
    <sheetView workbookViewId="0">
      <selection activeCell="A17" sqref="A17:XFD17"/>
    </sheetView>
  </sheetViews>
  <sheetFormatPr defaultRowHeight="14.25" x14ac:dyDescent="0.2"/>
  <cols>
    <col min="1" max="1" width="20" style="1" customWidth="1"/>
    <col min="2" max="2" width="16.75" style="1" customWidth="1"/>
    <col min="3" max="16" width="9" style="1"/>
  </cols>
  <sheetData>
    <row r="1" spans="1:16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 x14ac:dyDescent="0.2">
      <c r="A2" s="8" t="s">
        <v>3</v>
      </c>
      <c r="B2" s="2">
        <v>50.548274939823401</v>
      </c>
      <c r="C2" s="2">
        <v>7.9999999990686703</v>
      </c>
      <c r="D2" s="2">
        <v>59.000000000931301</v>
      </c>
      <c r="E2" s="2">
        <v>8.0302273667381101</v>
      </c>
      <c r="F2" s="2">
        <v>7</v>
      </c>
      <c r="G2" s="2">
        <v>1.23674911660777E-2</v>
      </c>
      <c r="H2" s="2">
        <v>42.5</v>
      </c>
      <c r="I2" s="2">
        <v>12.613756613751599</v>
      </c>
      <c r="J2" s="2">
        <v>18</v>
      </c>
      <c r="K2" s="2">
        <v>0.65934910348572495</v>
      </c>
      <c r="L2" s="2">
        <v>5.1467296549123701E-2</v>
      </c>
      <c r="M2" s="2">
        <v>8.2410927766062597E-2</v>
      </c>
      <c r="N2" s="2">
        <v>567</v>
      </c>
      <c r="O2" s="2">
        <v>567</v>
      </c>
      <c r="P2" s="3">
        <v>11217</v>
      </c>
    </row>
    <row r="3" spans="1:16" x14ac:dyDescent="0.2">
      <c r="A3" s="9" t="s">
        <v>4</v>
      </c>
      <c r="B3" s="4">
        <v>56.533333333333303</v>
      </c>
      <c r="C3" s="4">
        <v>7.9999999990686703</v>
      </c>
      <c r="D3" s="4">
        <v>50</v>
      </c>
      <c r="E3" s="4">
        <v>5.2904573694357202</v>
      </c>
      <c r="F3" s="4">
        <v>1</v>
      </c>
      <c r="G3" s="4">
        <v>1.5748031496062901E-3</v>
      </c>
      <c r="H3" s="4">
        <v>42.5</v>
      </c>
      <c r="I3" s="4">
        <v>12.4103773584861</v>
      </c>
      <c r="J3" s="4">
        <v>22</v>
      </c>
      <c r="K3" s="4">
        <v>0.691772237264215</v>
      </c>
      <c r="L3" s="4">
        <v>6.9682427829172805E-2</v>
      </c>
      <c r="M3" s="4">
        <v>7.4734904483371598E-2</v>
      </c>
      <c r="N3" s="4">
        <v>636</v>
      </c>
      <c r="O3" s="4">
        <v>636</v>
      </c>
      <c r="P3" s="5">
        <v>11250</v>
      </c>
    </row>
    <row r="4" spans="1:16" x14ac:dyDescent="0.2">
      <c r="A4" s="9" t="s">
        <v>5</v>
      </c>
      <c r="B4" s="4">
        <v>57.779355640365601</v>
      </c>
      <c r="C4" s="4">
        <v>7.9999999990686703</v>
      </c>
      <c r="D4" s="4">
        <v>42.000000000931301</v>
      </c>
      <c r="E4" s="4">
        <v>5.10543532155764</v>
      </c>
      <c r="F4" s="4">
        <v>0</v>
      </c>
      <c r="G4" s="4">
        <v>0</v>
      </c>
      <c r="H4" s="4">
        <v>42.5</v>
      </c>
      <c r="I4" s="4">
        <v>12.2549923195027</v>
      </c>
      <c r="J4" s="4">
        <v>21.000000000931301</v>
      </c>
      <c r="K4" s="4">
        <v>0.62108527576720696</v>
      </c>
      <c r="L4" s="4">
        <v>5.6320694402866099E-2</v>
      </c>
      <c r="M4" s="4">
        <v>7.1627494126150396E-2</v>
      </c>
      <c r="N4" s="4">
        <v>651</v>
      </c>
      <c r="O4" s="4">
        <v>651</v>
      </c>
      <c r="P4" s="5">
        <v>11267</v>
      </c>
    </row>
    <row r="5" spans="1:16" x14ac:dyDescent="0.2">
      <c r="A5" s="9" t="s">
        <v>6</v>
      </c>
      <c r="B5" s="4">
        <v>56.533333333333303</v>
      </c>
      <c r="C5" s="4">
        <v>7.9999999990686703</v>
      </c>
      <c r="D5" s="4">
        <v>57.999999999068599</v>
      </c>
      <c r="E5" s="4">
        <v>5.4647008084508499</v>
      </c>
      <c r="F5" s="4">
        <v>2</v>
      </c>
      <c r="G5" s="4">
        <v>3.1496062992125901E-3</v>
      </c>
      <c r="H5" s="4">
        <v>42.5</v>
      </c>
      <c r="I5" s="4">
        <v>12.1823899371874</v>
      </c>
      <c r="J5" s="4">
        <v>19</v>
      </c>
      <c r="K5" s="4">
        <v>0.57632719615446104</v>
      </c>
      <c r="L5" s="4">
        <v>4.2897920470123301E-2</v>
      </c>
      <c r="M5" s="4">
        <v>7.7674254449368096E-2</v>
      </c>
      <c r="N5" s="4">
        <v>636</v>
      </c>
      <c r="O5" s="4">
        <v>636</v>
      </c>
      <c r="P5" s="5">
        <v>11250</v>
      </c>
    </row>
    <row r="6" spans="1:16" x14ac:dyDescent="0.2">
      <c r="A6" s="10" t="s">
        <v>7</v>
      </c>
      <c r="B6" s="6">
        <v>54.329522290170999</v>
      </c>
      <c r="C6" s="6">
        <v>7.9999999990686703</v>
      </c>
      <c r="D6" s="6">
        <v>59.000000001862603</v>
      </c>
      <c r="E6" s="6">
        <v>7.0335929124901702</v>
      </c>
      <c r="F6" s="6">
        <v>6</v>
      </c>
      <c r="G6" s="6">
        <v>9.8039215686274508E-3</v>
      </c>
      <c r="H6" s="6">
        <v>42.5</v>
      </c>
      <c r="I6" s="6">
        <v>12.2381729200485</v>
      </c>
      <c r="J6" s="6">
        <v>18</v>
      </c>
      <c r="K6" s="6">
        <v>0.669944550120256</v>
      </c>
      <c r="L6" s="6">
        <v>5.7381113097452099E-2</v>
      </c>
      <c r="M6" s="6">
        <v>7.9226572345856602E-2</v>
      </c>
      <c r="N6" s="6">
        <v>613</v>
      </c>
      <c r="O6" s="6">
        <v>613</v>
      </c>
      <c r="P6" s="7">
        <v>11283</v>
      </c>
    </row>
    <row r="7" spans="1:16" x14ac:dyDescent="0.2">
      <c r="A7" s="11" t="s">
        <v>2</v>
      </c>
    </row>
    <row r="8" spans="1:16" x14ac:dyDescent="0.2">
      <c r="A8" s="8" t="s">
        <v>8</v>
      </c>
      <c r="B8" s="2">
        <v>53.401087634839897</v>
      </c>
      <c r="C8" s="2">
        <v>7.9999999990686703</v>
      </c>
      <c r="D8" s="2">
        <v>59</v>
      </c>
      <c r="E8" s="2">
        <v>7.2099245443402404</v>
      </c>
      <c r="F8" s="2">
        <v>6</v>
      </c>
      <c r="G8" s="2">
        <v>1.00334448160535E-2</v>
      </c>
      <c r="H8" s="2">
        <v>42.5</v>
      </c>
      <c r="I8" s="2">
        <v>12.649415692808899</v>
      </c>
      <c r="J8" s="2">
        <v>21</v>
      </c>
      <c r="K8" s="2">
        <v>0.64718770232384804</v>
      </c>
      <c r="L8" s="2">
        <v>4.8659387299969298E-2</v>
      </c>
      <c r="M8" s="2">
        <v>8.0900067954219806E-2</v>
      </c>
      <c r="N8" s="2">
        <v>599</v>
      </c>
      <c r="O8" s="2">
        <v>599</v>
      </c>
      <c r="P8" s="3">
        <v>11217</v>
      </c>
    </row>
    <row r="9" spans="1:16" x14ac:dyDescent="0.2">
      <c r="A9" s="9" t="s">
        <v>9</v>
      </c>
      <c r="B9" s="4">
        <v>57.406593406593402</v>
      </c>
      <c r="C9" s="4">
        <v>8</v>
      </c>
      <c r="D9" s="4">
        <v>50</v>
      </c>
      <c r="E9" s="4">
        <v>5.2151738798865397</v>
      </c>
      <c r="F9" s="4">
        <v>1</v>
      </c>
      <c r="G9" s="4">
        <v>1.5337423312883399E-3</v>
      </c>
      <c r="H9" s="4">
        <v>42.5</v>
      </c>
      <c r="I9" s="4">
        <v>12.519142419554701</v>
      </c>
      <c r="J9" s="4">
        <v>19</v>
      </c>
      <c r="K9" s="4">
        <v>0.55746185100136003</v>
      </c>
      <c r="L9" s="4">
        <v>4.2174502145746903E-2</v>
      </c>
      <c r="M9" s="4">
        <v>7.8334790822190303E-2</v>
      </c>
      <c r="N9" s="4">
        <v>653</v>
      </c>
      <c r="O9" s="4">
        <v>653</v>
      </c>
      <c r="P9" s="5">
        <v>11375</v>
      </c>
    </row>
    <row r="10" spans="1:16" x14ac:dyDescent="0.2">
      <c r="A10" s="9" t="s">
        <v>10</v>
      </c>
      <c r="B10" s="4">
        <v>58.414096916299499</v>
      </c>
      <c r="C10" s="4">
        <v>8</v>
      </c>
      <c r="D10" s="4">
        <v>50</v>
      </c>
      <c r="E10" s="4">
        <v>4.8534533987699504</v>
      </c>
      <c r="F10" s="4">
        <v>1</v>
      </c>
      <c r="G10" s="4">
        <v>1.51057401812688E-3</v>
      </c>
      <c r="H10" s="4">
        <v>42.5</v>
      </c>
      <c r="I10" s="4">
        <v>12.5022624434389</v>
      </c>
      <c r="J10" s="4">
        <v>18</v>
      </c>
      <c r="K10" s="4">
        <v>0.57369605953846703</v>
      </c>
      <c r="L10" s="4">
        <v>4.4872366208939897E-2</v>
      </c>
      <c r="M10" s="4">
        <v>7.8987559563074405E-2</v>
      </c>
      <c r="N10" s="4">
        <v>663</v>
      </c>
      <c r="O10" s="4">
        <v>663</v>
      </c>
      <c r="P10" s="5">
        <v>11350</v>
      </c>
    </row>
    <row r="11" spans="1:16" x14ac:dyDescent="0.2">
      <c r="A11" s="9" t="s">
        <v>11</v>
      </c>
      <c r="B11" s="4">
        <v>57.4925162880741</v>
      </c>
      <c r="C11" s="4">
        <v>7.9999999990686703</v>
      </c>
      <c r="D11" s="4">
        <v>50</v>
      </c>
      <c r="E11" s="4">
        <v>5.0907188436041304</v>
      </c>
      <c r="F11" s="4">
        <v>1</v>
      </c>
      <c r="G11" s="4">
        <v>1.5337423312883399E-3</v>
      </c>
      <c r="H11" s="4">
        <v>42.5</v>
      </c>
      <c r="I11" s="4">
        <v>12.984686064297099</v>
      </c>
      <c r="J11" s="4">
        <v>23</v>
      </c>
      <c r="K11" s="4">
        <v>0.51103525998185695</v>
      </c>
      <c r="L11" s="4">
        <v>3.4008229717149098E-2</v>
      </c>
      <c r="M11" s="4">
        <v>7.9219274868652906E-2</v>
      </c>
      <c r="N11" s="4">
        <v>653</v>
      </c>
      <c r="O11" s="4">
        <v>653</v>
      </c>
      <c r="P11" s="5">
        <v>11358.0000000009</v>
      </c>
    </row>
    <row r="12" spans="1:16" x14ac:dyDescent="0.2">
      <c r="A12" s="10" t="s">
        <v>12</v>
      </c>
      <c r="B12" s="6">
        <v>57.716436637390203</v>
      </c>
      <c r="C12" s="6">
        <v>7.9999999990686703</v>
      </c>
      <c r="D12" s="6">
        <v>58</v>
      </c>
      <c r="E12" s="6">
        <v>5.1003707342864502</v>
      </c>
      <c r="F12" s="6">
        <v>1</v>
      </c>
      <c r="G12" s="6">
        <v>1.5552099533437001E-3</v>
      </c>
      <c r="H12" s="6">
        <v>42.5</v>
      </c>
      <c r="I12" s="6">
        <v>12.3416149068322</v>
      </c>
      <c r="J12" s="6">
        <v>21</v>
      </c>
      <c r="K12" s="6">
        <v>0.58107799651814596</v>
      </c>
      <c r="L12" s="6">
        <v>4.5049336514023701E-2</v>
      </c>
      <c r="M12" s="6">
        <v>8.1717387051787799E-2</v>
      </c>
      <c r="N12" s="6">
        <v>644</v>
      </c>
      <c r="O12" s="6">
        <v>644</v>
      </c>
      <c r="P12" s="7">
        <v>11158</v>
      </c>
    </row>
    <row r="13" spans="1:16" x14ac:dyDescent="0.2">
      <c r="A13" s="12" t="s">
        <v>1</v>
      </c>
    </row>
    <row r="14" spans="1:16" x14ac:dyDescent="0.2">
      <c r="A14" s="8" t="s">
        <v>13</v>
      </c>
      <c r="B14" s="2">
        <v>58.2489470382638</v>
      </c>
      <c r="C14" s="2">
        <v>7.9999999997671596</v>
      </c>
      <c r="D14" s="2">
        <v>42</v>
      </c>
      <c r="E14" s="2">
        <v>4.8692516186408401</v>
      </c>
      <c r="F14" s="2">
        <v>0</v>
      </c>
      <c r="G14" s="2">
        <v>0</v>
      </c>
      <c r="H14" s="2">
        <v>42.5</v>
      </c>
      <c r="I14" s="2">
        <v>12.699999999987799</v>
      </c>
      <c r="J14" s="2">
        <v>23</v>
      </c>
      <c r="K14" s="2">
        <v>0.55507000327181599</v>
      </c>
      <c r="L14" s="2">
        <v>4.4506237838230198E-2</v>
      </c>
      <c r="M14" s="2">
        <v>7.8752949084585494E-2</v>
      </c>
      <c r="N14" s="2">
        <v>650</v>
      </c>
      <c r="O14" s="2">
        <v>650</v>
      </c>
      <c r="P14" s="3">
        <v>11159.0000000002</v>
      </c>
    </row>
    <row r="15" spans="1:16" x14ac:dyDescent="0.2">
      <c r="A15" s="9" t="s">
        <v>14</v>
      </c>
      <c r="B15" s="4">
        <v>58.135412974122602</v>
      </c>
      <c r="C15" s="4">
        <v>8</v>
      </c>
      <c r="D15" s="4">
        <v>34.000000000232802</v>
      </c>
      <c r="E15" s="4">
        <v>4.6821253971142696</v>
      </c>
      <c r="F15" s="4">
        <v>0</v>
      </c>
      <c r="G15" s="4">
        <v>0</v>
      </c>
      <c r="H15" s="4">
        <v>42.5</v>
      </c>
      <c r="I15" s="4">
        <v>12.625000000007001</v>
      </c>
      <c r="J15" s="4">
        <v>23.000000000232799</v>
      </c>
      <c r="K15" s="4">
        <v>0.54494638216779501</v>
      </c>
      <c r="L15" s="4">
        <v>4.0896720488551301E-2</v>
      </c>
      <c r="M15" s="4">
        <v>7.7301568442692994E-2</v>
      </c>
      <c r="N15" s="4">
        <v>656</v>
      </c>
      <c r="O15" s="4">
        <v>656</v>
      </c>
      <c r="P15" s="5">
        <v>11284</v>
      </c>
    </row>
    <row r="16" spans="1:16" x14ac:dyDescent="0.2">
      <c r="A16" s="9" t="s">
        <v>15</v>
      </c>
      <c r="B16" s="4">
        <v>56</v>
      </c>
      <c r="C16" s="4">
        <v>7.9999999997671596</v>
      </c>
      <c r="D16" s="4">
        <v>50</v>
      </c>
      <c r="E16" s="4">
        <v>5.83664188282411</v>
      </c>
      <c r="F16" s="4">
        <v>2</v>
      </c>
      <c r="G16" s="4">
        <v>3.1796502384737598E-3</v>
      </c>
      <c r="H16" s="4">
        <v>42.5</v>
      </c>
      <c r="I16" s="4">
        <v>12.4777777777929</v>
      </c>
      <c r="J16" s="4">
        <v>22.000000000232799</v>
      </c>
      <c r="K16" s="4">
        <v>0.54776669986512605</v>
      </c>
      <c r="L16" s="4">
        <v>3.75699819392585E-2</v>
      </c>
      <c r="M16" s="4">
        <v>8.1729040674729997E-2</v>
      </c>
      <c r="N16" s="4">
        <v>630</v>
      </c>
      <c r="O16" s="4">
        <v>630</v>
      </c>
      <c r="P16" s="5">
        <v>11250</v>
      </c>
    </row>
    <row r="17" spans="1:16" x14ac:dyDescent="0.2">
      <c r="A17" s="9" t="s">
        <v>16</v>
      </c>
      <c r="B17" s="4">
        <v>55.735056542810902</v>
      </c>
      <c r="C17" s="4">
        <v>7.9999999997671596</v>
      </c>
      <c r="D17" s="4">
        <v>42.000000000232802</v>
      </c>
      <c r="E17" s="4">
        <v>5.8344744932035102</v>
      </c>
      <c r="F17" s="4">
        <v>0</v>
      </c>
      <c r="G17" s="4">
        <v>0</v>
      </c>
      <c r="H17" s="4">
        <v>42.5</v>
      </c>
      <c r="I17" s="4">
        <v>12.603864734293101</v>
      </c>
      <c r="J17" s="4">
        <v>21.000000000232799</v>
      </c>
      <c r="K17" s="4">
        <v>0.68180733034179997</v>
      </c>
      <c r="L17" s="4">
        <v>6.0230944787049899E-2</v>
      </c>
      <c r="M17" s="4">
        <v>7.8933077850699404E-2</v>
      </c>
      <c r="N17" s="4">
        <v>621</v>
      </c>
      <c r="O17" s="4">
        <v>621</v>
      </c>
      <c r="P17" s="5">
        <v>11142</v>
      </c>
    </row>
    <row r="18" spans="1:16" x14ac:dyDescent="0.2">
      <c r="A18" s="10" t="s">
        <v>17</v>
      </c>
      <c r="B18" s="6">
        <v>58.5725713269943</v>
      </c>
      <c r="C18" s="6">
        <v>7.9999999997671596</v>
      </c>
      <c r="D18" s="6">
        <v>42</v>
      </c>
      <c r="E18" s="6">
        <v>4.5383504339804599</v>
      </c>
      <c r="F18" s="6">
        <v>0</v>
      </c>
      <c r="G18" s="6">
        <v>0</v>
      </c>
      <c r="H18" s="6">
        <v>42.5</v>
      </c>
      <c r="I18" s="6">
        <v>12.467374810311901</v>
      </c>
      <c r="J18" s="6">
        <v>20</v>
      </c>
      <c r="K18" s="6">
        <v>0.56768750034952198</v>
      </c>
      <c r="L18" s="6">
        <v>4.5804107267721703E-2</v>
      </c>
      <c r="M18" s="6">
        <v>7.6875346013033696E-2</v>
      </c>
      <c r="N18" s="6">
        <v>659</v>
      </c>
      <c r="O18" s="6">
        <v>659</v>
      </c>
      <c r="P18" s="7">
        <v>11250.9999999997</v>
      </c>
    </row>
    <row r="19" spans="1:16" x14ac:dyDescent="0.2">
      <c r="A19" s="11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9A9B-8BE8-498E-8152-578644AEB392}">
  <dimension ref="A1:M13"/>
  <sheetViews>
    <sheetView tabSelected="1" workbookViewId="0">
      <selection activeCell="J19" sqref="J19"/>
    </sheetView>
  </sheetViews>
  <sheetFormatPr defaultRowHeight="14.25" x14ac:dyDescent="0.2"/>
  <cols>
    <col min="1" max="1" width="20" style="1" customWidth="1"/>
    <col min="2" max="2" width="19.75" style="1" customWidth="1"/>
    <col min="3" max="3" width="15.625" style="1" customWidth="1"/>
    <col min="4" max="4" width="13.25" style="1" customWidth="1"/>
    <col min="5" max="5" width="16" style="1" customWidth="1"/>
    <col min="6" max="6" width="15.625" style="1" customWidth="1"/>
    <col min="7" max="7" width="14.375" style="1" customWidth="1"/>
    <col min="8" max="8" width="15.625" style="1" customWidth="1"/>
    <col min="9" max="9" width="12.5" style="1" customWidth="1"/>
    <col min="10" max="10" width="14.5" style="1" customWidth="1"/>
    <col min="11" max="11" width="12" style="1" customWidth="1"/>
    <col min="12" max="12" width="11.125" style="1" customWidth="1"/>
    <col min="13" max="13" width="9" style="1"/>
  </cols>
  <sheetData>
    <row r="1" spans="1:13" x14ac:dyDescent="0.2">
      <c r="A1" s="18" t="s">
        <v>40</v>
      </c>
      <c r="B1" s="18" t="s">
        <v>18</v>
      </c>
      <c r="C1" s="18" t="s">
        <v>19</v>
      </c>
      <c r="D1" s="18" t="s">
        <v>20</v>
      </c>
      <c r="E1" s="18" t="s">
        <v>21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  <c r="K1" s="18" t="s">
        <v>30</v>
      </c>
      <c r="L1" s="18" t="s">
        <v>31</v>
      </c>
      <c r="M1" s="18" t="s">
        <v>32</v>
      </c>
    </row>
    <row r="2" spans="1:13" x14ac:dyDescent="0.2">
      <c r="A2" s="9" t="s">
        <v>33</v>
      </c>
      <c r="B2" s="13">
        <v>56.533333333333303</v>
      </c>
      <c r="C2" s="13">
        <v>7.9999999990686703</v>
      </c>
      <c r="D2" s="13">
        <v>50</v>
      </c>
      <c r="E2" s="13">
        <v>5.2904573694357202</v>
      </c>
      <c r="F2" s="13">
        <v>12.4103773584861</v>
      </c>
      <c r="G2" s="13">
        <v>22</v>
      </c>
      <c r="H2" s="13">
        <v>0.691772237264215</v>
      </c>
      <c r="I2" s="13">
        <v>6.9682427829172805E-2</v>
      </c>
      <c r="J2" s="13">
        <v>7.4734904483371598E-2</v>
      </c>
      <c r="K2" s="13">
        <v>636</v>
      </c>
      <c r="L2" s="13">
        <v>636</v>
      </c>
      <c r="M2" s="13">
        <v>11250</v>
      </c>
    </row>
    <row r="3" spans="1:13" x14ac:dyDescent="0.2">
      <c r="A3" s="9" t="s">
        <v>34</v>
      </c>
      <c r="B3" s="13">
        <v>57.779355640365601</v>
      </c>
      <c r="C3" s="13">
        <v>7.9999999990686703</v>
      </c>
      <c r="D3" s="13">
        <v>42.000000000931301</v>
      </c>
      <c r="E3" s="13">
        <v>5.10543532155764</v>
      </c>
      <c r="F3" s="13">
        <v>12.2549923195027</v>
      </c>
      <c r="G3" s="13">
        <v>21.000000000931301</v>
      </c>
      <c r="H3" s="13">
        <v>0.62108527576720696</v>
      </c>
      <c r="I3" s="13">
        <v>5.6320694402866099E-2</v>
      </c>
      <c r="J3" s="13">
        <v>7.1627494126150396E-2</v>
      </c>
      <c r="K3" s="13">
        <v>651</v>
      </c>
      <c r="L3" s="13">
        <v>651</v>
      </c>
      <c r="M3" s="13">
        <v>11267</v>
      </c>
    </row>
    <row r="4" spans="1:13" x14ac:dyDescent="0.2">
      <c r="A4" s="9" t="s">
        <v>35</v>
      </c>
      <c r="B4" s="13">
        <v>56.533333333333303</v>
      </c>
      <c r="C4" s="13">
        <v>7.9999999990686703</v>
      </c>
      <c r="D4" s="13">
        <v>57.999999999068599</v>
      </c>
      <c r="E4" s="13">
        <v>5.4647008084508499</v>
      </c>
      <c r="F4" s="13">
        <v>12.1823899371874</v>
      </c>
      <c r="G4" s="13">
        <v>19</v>
      </c>
      <c r="H4" s="13">
        <v>0.57632719615446104</v>
      </c>
      <c r="I4" s="13">
        <v>4.2897920470123301E-2</v>
      </c>
      <c r="J4" s="13">
        <v>7.7674254449368096E-2</v>
      </c>
      <c r="K4" s="13">
        <v>636</v>
      </c>
      <c r="L4" s="13">
        <v>636</v>
      </c>
      <c r="M4" s="13">
        <v>11250</v>
      </c>
    </row>
    <row r="5" spans="1:13" x14ac:dyDescent="0.2">
      <c r="A5" s="16" t="s">
        <v>2</v>
      </c>
      <c r="B5" s="17">
        <f>AVERAGE(B2:B4)</f>
        <v>56.948674102344064</v>
      </c>
      <c r="C5" s="17">
        <f>AVERAGE(C2:C4)</f>
        <v>7.9999999990686703</v>
      </c>
      <c r="D5" s="17">
        <f>AVERAGE(D2:D4)</f>
        <v>49.999999999999964</v>
      </c>
      <c r="E5" s="17">
        <f>AVERAGE(E2:E4)</f>
        <v>5.2868644998147367</v>
      </c>
      <c r="F5" s="17">
        <f>AVERAGE(F2:F4)</f>
        <v>12.282586538392067</v>
      </c>
      <c r="G5" s="17">
        <f>AVERAGE(G2:G4)</f>
        <v>20.6666666669771</v>
      </c>
      <c r="H5" s="17">
        <f>AVERAGE(H2:H4)</f>
        <v>0.62972823639529441</v>
      </c>
      <c r="I5" s="17">
        <f>AVERAGE(I2:I4)</f>
        <v>5.6300347567387408E-2</v>
      </c>
      <c r="J5" s="17">
        <f>AVERAGE(J2:J4)</f>
        <v>7.4678884352963368E-2</v>
      </c>
      <c r="K5" s="17">
        <f>AVERAGE(K2:K4)</f>
        <v>641</v>
      </c>
      <c r="L5" s="17">
        <f>AVERAGE(L2:L4)</f>
        <v>641</v>
      </c>
      <c r="M5" s="17">
        <f>AVERAGE(M2:M4)</f>
        <v>11255.666666666666</v>
      </c>
    </row>
    <row r="6" spans="1:13" x14ac:dyDescent="0.2">
      <c r="A6" s="9" t="s">
        <v>36</v>
      </c>
      <c r="B6" s="13">
        <v>58.414096916299499</v>
      </c>
      <c r="C6" s="13">
        <v>8</v>
      </c>
      <c r="D6" s="13">
        <v>50</v>
      </c>
      <c r="E6" s="13">
        <v>4.8534533987699504</v>
      </c>
      <c r="F6" s="13">
        <v>12.5022624434389</v>
      </c>
      <c r="G6" s="13">
        <v>18</v>
      </c>
      <c r="H6" s="13">
        <v>0.57369605953846703</v>
      </c>
      <c r="I6" s="13">
        <v>4.4872366208939897E-2</v>
      </c>
      <c r="J6" s="13">
        <v>7.8987559563074405E-2</v>
      </c>
      <c r="K6" s="13">
        <v>663</v>
      </c>
      <c r="L6" s="13">
        <v>663</v>
      </c>
      <c r="M6" s="13">
        <v>11350</v>
      </c>
    </row>
    <row r="7" spans="1:13" x14ac:dyDescent="0.2">
      <c r="A7" s="9" t="s">
        <v>37</v>
      </c>
      <c r="B7" s="13">
        <v>57.4925162880741</v>
      </c>
      <c r="C7" s="13">
        <v>7.9999999990686703</v>
      </c>
      <c r="D7" s="13">
        <v>50</v>
      </c>
      <c r="E7" s="13">
        <v>5.0907188436041304</v>
      </c>
      <c r="F7" s="13">
        <v>12.984686064297099</v>
      </c>
      <c r="G7" s="13">
        <v>23</v>
      </c>
      <c r="H7" s="13">
        <v>0.51103525998185695</v>
      </c>
      <c r="I7" s="13">
        <v>3.4008229717149098E-2</v>
      </c>
      <c r="J7" s="13">
        <v>7.9219274868652906E-2</v>
      </c>
      <c r="K7" s="13">
        <v>653</v>
      </c>
      <c r="L7" s="13">
        <v>653</v>
      </c>
      <c r="M7" s="13">
        <v>11358.0000000009</v>
      </c>
    </row>
    <row r="8" spans="1:13" x14ac:dyDescent="0.2">
      <c r="A8" s="10" t="s">
        <v>38</v>
      </c>
      <c r="B8" s="14">
        <v>57.716436637390203</v>
      </c>
      <c r="C8" s="14">
        <v>7.9999999990686703</v>
      </c>
      <c r="D8" s="14">
        <v>58</v>
      </c>
      <c r="E8" s="14">
        <v>5.1003707342864502</v>
      </c>
      <c r="F8" s="14">
        <v>12.3416149068322</v>
      </c>
      <c r="G8" s="14">
        <v>21</v>
      </c>
      <c r="H8" s="14">
        <v>0.58107799651814596</v>
      </c>
      <c r="I8" s="14">
        <v>4.5049336514023701E-2</v>
      </c>
      <c r="J8" s="14">
        <v>8.1717387051787799E-2</v>
      </c>
      <c r="K8" s="14">
        <v>644</v>
      </c>
      <c r="L8" s="14">
        <v>644</v>
      </c>
      <c r="M8" s="14">
        <v>11158</v>
      </c>
    </row>
    <row r="9" spans="1:13" x14ac:dyDescent="0.2">
      <c r="A9" s="16" t="s">
        <v>1</v>
      </c>
      <c r="B9" s="17">
        <f>AVERAGE(B6:B8)</f>
        <v>57.874349947254608</v>
      </c>
      <c r="C9" s="17">
        <f>AVERAGE(C6:C8)</f>
        <v>7.9999999993791135</v>
      </c>
      <c r="D9" s="17">
        <f>AVERAGE(D6:D8)</f>
        <v>52.666666666666664</v>
      </c>
      <c r="E9" s="17">
        <f>AVERAGE(E6:E8)</f>
        <v>5.0148476588868434</v>
      </c>
      <c r="F9" s="17">
        <f>AVERAGE(F6:F8)</f>
        <v>12.6095211381894</v>
      </c>
      <c r="G9" s="17">
        <f>AVERAGE(G6:G8)</f>
        <v>20.666666666666668</v>
      </c>
      <c r="H9" s="17">
        <f>AVERAGE(H6:H8)</f>
        <v>0.55526977201282335</v>
      </c>
      <c r="I9" s="17">
        <f>AVERAGE(I6:I8)</f>
        <v>4.1309977480037563E-2</v>
      </c>
      <c r="J9" s="17">
        <f>AVERAGE(J6:J8)</f>
        <v>7.9974740494505037E-2</v>
      </c>
      <c r="K9" s="17">
        <f>AVERAGE(K6:K8)</f>
        <v>653.33333333333337</v>
      </c>
      <c r="L9" s="17">
        <f>AVERAGE(L6:L8)</f>
        <v>653.33333333333337</v>
      </c>
      <c r="M9" s="17">
        <f>AVERAGE(M6:M8)</f>
        <v>11288.666666666968</v>
      </c>
    </row>
    <row r="10" spans="1:13" x14ac:dyDescent="0.2">
      <c r="A10" s="8" t="s">
        <v>13</v>
      </c>
      <c r="B10" s="15">
        <v>58.2489470382638</v>
      </c>
      <c r="C10" s="15">
        <v>7.9999999997671596</v>
      </c>
      <c r="D10" s="15">
        <v>42</v>
      </c>
      <c r="E10" s="15">
        <v>4.8692516186408401</v>
      </c>
      <c r="F10" s="15">
        <v>12.699999999987799</v>
      </c>
      <c r="G10" s="15">
        <v>23</v>
      </c>
      <c r="H10" s="15">
        <v>0.55507000327181599</v>
      </c>
      <c r="I10" s="15">
        <v>4.4506237838230198E-2</v>
      </c>
      <c r="J10" s="15">
        <v>7.8752949084585494E-2</v>
      </c>
      <c r="K10" s="15">
        <v>650</v>
      </c>
      <c r="L10" s="15">
        <v>650</v>
      </c>
      <c r="M10" s="15">
        <v>11159.0000000002</v>
      </c>
    </row>
    <row r="11" spans="1:13" x14ac:dyDescent="0.2">
      <c r="A11" s="9" t="s">
        <v>14</v>
      </c>
      <c r="B11" s="13">
        <v>58.135412974122602</v>
      </c>
      <c r="C11" s="13">
        <v>8</v>
      </c>
      <c r="D11" s="13">
        <v>34.000000000232802</v>
      </c>
      <c r="E11" s="13">
        <v>4.6821253971142696</v>
      </c>
      <c r="F11" s="13">
        <v>12.625000000007001</v>
      </c>
      <c r="G11" s="13">
        <v>23.000000000232799</v>
      </c>
      <c r="H11" s="13">
        <v>0.54494638216779501</v>
      </c>
      <c r="I11" s="13">
        <v>4.0896720488551301E-2</v>
      </c>
      <c r="J11" s="13">
        <v>7.7301568442692994E-2</v>
      </c>
      <c r="K11" s="13">
        <v>656</v>
      </c>
      <c r="L11" s="13">
        <v>656</v>
      </c>
      <c r="M11" s="13">
        <v>11284</v>
      </c>
    </row>
    <row r="12" spans="1:13" x14ac:dyDescent="0.2">
      <c r="A12" s="10" t="s">
        <v>39</v>
      </c>
      <c r="B12" s="14">
        <v>58.5725713269943</v>
      </c>
      <c r="C12" s="14">
        <v>7.9999999997671596</v>
      </c>
      <c r="D12" s="14">
        <v>42</v>
      </c>
      <c r="E12" s="14">
        <v>4.5383504339804599</v>
      </c>
      <c r="F12" s="14">
        <v>12.467374810311901</v>
      </c>
      <c r="G12" s="14">
        <v>20</v>
      </c>
      <c r="H12" s="14">
        <v>0.56768750034952198</v>
      </c>
      <c r="I12" s="14">
        <v>4.5804107267721703E-2</v>
      </c>
      <c r="J12" s="14">
        <v>7.6875346013033696E-2</v>
      </c>
      <c r="K12" s="14">
        <v>659</v>
      </c>
      <c r="L12" s="14">
        <v>659</v>
      </c>
      <c r="M12" s="14">
        <v>11250.9999999997</v>
      </c>
    </row>
    <row r="13" spans="1:13" x14ac:dyDescent="0.2">
      <c r="A13" s="16" t="s">
        <v>2</v>
      </c>
      <c r="B13" s="17">
        <f>AVERAGE(B10:B12)</f>
        <v>58.318977113126898</v>
      </c>
      <c r="C13" s="17">
        <f>AVERAGE(C10:C12)</f>
        <v>7.9999999998447722</v>
      </c>
      <c r="D13" s="17">
        <f>AVERAGE(D10:D12)</f>
        <v>39.333333333410934</v>
      </c>
      <c r="E13" s="17">
        <f>AVERAGE(E10:E12)</f>
        <v>4.6965758165785232</v>
      </c>
      <c r="F13" s="17">
        <f>AVERAGE(F10:F12)</f>
        <v>12.597458270102235</v>
      </c>
      <c r="G13" s="17">
        <f>AVERAGE(G10:G12)</f>
        <v>22.000000000077602</v>
      </c>
      <c r="H13" s="17">
        <f>AVERAGE(H10:H12)</f>
        <v>0.55590129526304433</v>
      </c>
      <c r="I13" s="17">
        <f>AVERAGE(I10:I12)</f>
        <v>4.373568853150106E-2</v>
      </c>
      <c r="J13" s="17">
        <f>AVERAGE(J10:J12)</f>
        <v>7.7643287846770728E-2</v>
      </c>
      <c r="K13" s="17">
        <f>AVERAGE(K10:K12)</f>
        <v>655</v>
      </c>
      <c r="L13" s="17">
        <f>AVERAGE(L10:L12)</f>
        <v>655</v>
      </c>
      <c r="M13" s="17">
        <f>AVERAGE(M10:M12)</f>
        <v>11231.333333333299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summary_report</vt:lpstr>
      <vt:lpstr>summary_report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</dc:creator>
  <cp:lastModifiedBy>hank</cp:lastModifiedBy>
  <dcterms:created xsi:type="dcterms:W3CDTF">2025-08-27T10:17:27Z</dcterms:created>
  <dcterms:modified xsi:type="dcterms:W3CDTF">2025-08-27T10:42:17Z</dcterms:modified>
</cp:coreProperties>
</file>