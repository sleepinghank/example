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VScode\example\python\touch_optimize\result\data_version\"/>
    </mc:Choice>
  </mc:AlternateContent>
  <xr:revisionPtr revIDLastSave="0" documentId="13_ncr:9_{8FB9B0B8-19F3-4BE1-92DD-E022054647D8}" xr6:coauthVersionLast="47" xr6:coauthVersionMax="47" xr10:uidLastSave="{00000000-0000-0000-0000-000000000000}"/>
  <bookViews>
    <workbookView xWindow="30255" yWindow="1185" windowWidth="25215" windowHeight="13470" xr2:uid="{34F40DE0-D967-4923-B458-19D32E9737AB}"/>
  </bookViews>
  <sheets>
    <sheet name="data_versionsummary_report" sheetId="1" r:id="rId1"/>
  </sheets>
  <calcPr calcId="0"/>
</workbook>
</file>

<file path=xl/calcChain.xml><?xml version="1.0" encoding="utf-8"?>
<calcChain xmlns="http://schemas.openxmlformats.org/spreadsheetml/2006/main">
  <c r="B29" i="1" l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</calcChain>
</file>

<file path=xl/sharedStrings.xml><?xml version="1.0" encoding="utf-8"?>
<sst xmlns="http://schemas.openxmlformats.org/spreadsheetml/2006/main" count="39" uniqueCount="39">
  <si>
    <t>average_refresh_rate_hz</t>
  </si>
  <si>
    <t>min_refresh_interval_ms</t>
  </si>
  <si>
    <t>max_refresh_interval_ms</t>
  </si>
  <si>
    <t>refresh_interval_std_ms</t>
  </si>
  <si>
    <t>packet_loss_count</t>
  </si>
  <si>
    <t>packet_loss_rate</t>
  </si>
  <si>
    <t>packet_loss_threshold_ms</t>
  </si>
  <si>
    <t>avg_processing_delay_ms</t>
  </si>
  <si>
    <t>max_processing_delay_ms</t>
  </si>
  <si>
    <t>velocity_variation_coeff</t>
  </si>
  <si>
    <t>acceleration_std</t>
  </si>
  <si>
    <t>angle_variation_rad</t>
  </si>
  <si>
    <t>total_data_points</t>
  </si>
  <si>
    <t>cleaned_data_points</t>
  </si>
  <si>
    <t>total_duration_ms</t>
  </si>
  <si>
    <t>file_name</t>
  </si>
  <si>
    <t>20250807_01105_1</t>
  </si>
  <si>
    <t>20250807_01105_2</t>
  </si>
  <si>
    <t>20250807_01105_3</t>
  </si>
  <si>
    <t>20250807_01105_4</t>
  </si>
  <si>
    <t>20250807_01105_5</t>
  </si>
  <si>
    <t>20250807_04122_1</t>
  </si>
  <si>
    <t>20250807_04122_2</t>
  </si>
  <si>
    <t>20250807_04122_3</t>
  </si>
  <si>
    <t>20250807_04122_4</t>
  </si>
  <si>
    <t>20250807_04122_5</t>
  </si>
  <si>
    <t>20250807_09119_1</t>
  </si>
  <si>
    <t>20250807_09119_2</t>
  </si>
  <si>
    <t>20250807_09119_3</t>
  </si>
  <si>
    <t>20250807_09119_4</t>
  </si>
  <si>
    <t>20250807_09119_5</t>
  </si>
  <si>
    <t>20250813_base_1</t>
  </si>
  <si>
    <t>20250813_base_3</t>
  </si>
  <si>
    <t>20250814_903-13_1</t>
  </si>
  <si>
    <t>20250814_903-13_2</t>
  </si>
  <si>
    <t>20250814_903-13_3</t>
  </si>
  <si>
    <t>20250814_903-13_4</t>
  </si>
  <si>
    <t>20250814_903-13_5</t>
  </si>
  <si>
    <t>20250814_903-13_6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</si>
</sst>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FB80-23A9-4117-B36D-8A2E577BE04A}">
  <dimension ref="A1:P29"/>
  <sheetViews>
    <sheetView tabSelected="1" workbookViewId="0">
      <selection activeCell="J11" sqref="J11"/>
    </sheetView>
  </sheetViews>
  <sheetFormatPr defaultRowHeight="14.25" x14ac:dyDescent="0.2"/>
  <cols>
    <col min="1" max="1" width="23" customWidth="1"/>
    <col min="3" max="3" width="23.75" customWidth="1"/>
    <col min="4" max="4" width="21.875" customWidth="1"/>
    <col min="5" max="5" width="24.5" customWidth="1"/>
    <col min="15" max="15" width="22.75" customWidth="1"/>
    <col min="16" max="16" width="30.375" customWidth="1"/>
  </cols>
  <sheetData>
    <row r="1" spans="1:16" x14ac:dyDescent="0.2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 t="s">
        <v>16</v>
      </c>
      <c r="B2">
        <v>58.547377509173302</v>
      </c>
      <c r="C2">
        <v>15.9999999995343</v>
      </c>
      <c r="D2">
        <v>34</v>
      </c>
      <c r="E2">
        <v>2.6721230934947502</v>
      </c>
      <c r="F2">
        <v>0</v>
      </c>
      <c r="G2">
        <v>0</v>
      </c>
      <c r="H2">
        <v>42.5</v>
      </c>
      <c r="I2">
        <v>17.880184331813499</v>
      </c>
      <c r="J2">
        <v>20</v>
      </c>
      <c r="K2">
        <v>0.57369848187996797</v>
      </c>
      <c r="L2">
        <v>2.33040629554443E-2</v>
      </c>
      <c r="M2">
        <v>8.3611874456795299E-2</v>
      </c>
      <c r="N2">
        <v>1085</v>
      </c>
      <c r="O2">
        <v>1085</v>
      </c>
      <c r="P2">
        <v>18532</v>
      </c>
    </row>
    <row r="3" spans="1:16" x14ac:dyDescent="0.2">
      <c r="A3" t="s">
        <v>17</v>
      </c>
      <c r="B3">
        <v>58.8107638888888</v>
      </c>
      <c r="C3">
        <v>15.9999999995343</v>
      </c>
      <c r="D3">
        <v>34</v>
      </c>
      <c r="E3">
        <v>2.4638836833237301</v>
      </c>
      <c r="F3">
        <v>0</v>
      </c>
      <c r="G3">
        <v>0</v>
      </c>
      <c r="H3">
        <v>42.5</v>
      </c>
      <c r="I3">
        <v>17.256457564546</v>
      </c>
      <c r="J3">
        <v>21</v>
      </c>
      <c r="K3">
        <v>0.56497064072820102</v>
      </c>
      <c r="L3">
        <v>2.3133669595971199E-2</v>
      </c>
      <c r="M3">
        <v>8.2105370121809504E-2</v>
      </c>
      <c r="N3">
        <v>1084</v>
      </c>
      <c r="O3">
        <v>1084</v>
      </c>
      <c r="P3">
        <v>18432</v>
      </c>
    </row>
    <row r="4" spans="1:16" x14ac:dyDescent="0.2">
      <c r="A4" t="s">
        <v>18</v>
      </c>
      <c r="B4">
        <v>57.838248048567401</v>
      </c>
      <c r="C4">
        <v>16</v>
      </c>
      <c r="D4">
        <v>50</v>
      </c>
      <c r="E4">
        <v>3.4048723420978702</v>
      </c>
      <c r="F4">
        <v>2</v>
      </c>
      <c r="G4">
        <v>1.87617260787992E-3</v>
      </c>
      <c r="H4">
        <v>42.5</v>
      </c>
      <c r="I4">
        <v>17.267104029991501</v>
      </c>
      <c r="J4">
        <v>20</v>
      </c>
      <c r="K4">
        <v>0.58435153886262303</v>
      </c>
      <c r="L4">
        <v>2.3653646194000601E-2</v>
      </c>
      <c r="M4">
        <v>8.14931933730801E-2</v>
      </c>
      <c r="N4">
        <v>1067</v>
      </c>
      <c r="O4">
        <v>1067</v>
      </c>
      <c r="P4">
        <v>18448.0000000004</v>
      </c>
    </row>
    <row r="5" spans="1:16" x14ac:dyDescent="0.2">
      <c r="A5" t="s">
        <v>19</v>
      </c>
      <c r="B5">
        <v>58.817169423721403</v>
      </c>
      <c r="C5">
        <v>15.9999999995343</v>
      </c>
      <c r="D5">
        <v>34</v>
      </c>
      <c r="E5">
        <v>2.4724178343780698</v>
      </c>
      <c r="F5">
        <v>0</v>
      </c>
      <c r="G5">
        <v>0</v>
      </c>
      <c r="H5">
        <v>42.5</v>
      </c>
      <c r="I5">
        <v>17.2895220587897</v>
      </c>
      <c r="J5">
        <v>20.000000000465601</v>
      </c>
      <c r="K5">
        <v>0.54041364064703701</v>
      </c>
      <c r="L5">
        <v>2.18193444752149E-2</v>
      </c>
      <c r="M5">
        <v>8.141331627989E-2</v>
      </c>
      <c r="N5">
        <v>1088</v>
      </c>
      <c r="O5">
        <v>1088</v>
      </c>
      <c r="P5">
        <v>18498</v>
      </c>
    </row>
    <row r="6" spans="1:16" x14ac:dyDescent="0.2">
      <c r="A6" t="s">
        <v>20</v>
      </c>
      <c r="B6">
        <v>59.840641769201497</v>
      </c>
      <c r="C6">
        <v>15.9999999995343</v>
      </c>
      <c r="D6">
        <v>33</v>
      </c>
      <c r="E6">
        <v>1.08868439461998</v>
      </c>
      <c r="F6">
        <v>0</v>
      </c>
      <c r="G6">
        <v>0</v>
      </c>
      <c r="H6">
        <v>42.5</v>
      </c>
      <c r="I6">
        <v>17.249094202923001</v>
      </c>
      <c r="J6">
        <v>25</v>
      </c>
      <c r="K6">
        <v>0.55893209086830997</v>
      </c>
      <c r="L6">
        <v>2.26557550514912E-2</v>
      </c>
      <c r="M6">
        <v>8.3998591236827305E-2</v>
      </c>
      <c r="N6">
        <v>1104</v>
      </c>
      <c r="O6">
        <v>1104</v>
      </c>
      <c r="P6">
        <v>18449</v>
      </c>
    </row>
    <row r="7" spans="1:16" x14ac:dyDescent="0.2">
      <c r="A7" s="1"/>
      <c r="B7" s="1">
        <f>AVERAGE(B2:B6)</f>
        <v>58.770840127910482</v>
      </c>
      <c r="C7" s="1">
        <f>AVERAGE(C2:C6)</f>
        <v>15.999999999627439</v>
      </c>
      <c r="D7" s="1">
        <f>AVERAGE(D2:D6)</f>
        <v>37</v>
      </c>
      <c r="E7" s="1">
        <f>AVERAGE(E2:E6)</f>
        <v>2.4203962695828802</v>
      </c>
      <c r="F7" s="1">
        <f>AVERAGE(F2:F6)</f>
        <v>0.4</v>
      </c>
      <c r="G7" s="1">
        <f>AVERAGE(G2:G6)</f>
        <v>3.7523452157598401E-4</v>
      </c>
      <c r="H7" s="1">
        <f>AVERAGE(H2:H6)</f>
        <v>42.5</v>
      </c>
      <c r="I7" s="1">
        <f>AVERAGE(I2:I6)</f>
        <v>17.388472437612741</v>
      </c>
      <c r="J7" s="1">
        <f>AVERAGE(J2:J6)</f>
        <v>21.200000000093119</v>
      </c>
      <c r="K7" s="1">
        <f>AVERAGE(K2:K6)</f>
        <v>0.56447327859722785</v>
      </c>
      <c r="L7" s="1">
        <f>AVERAGE(L2:L6)</f>
        <v>2.2913295654424438E-2</v>
      </c>
      <c r="M7" s="1">
        <f>AVERAGE(M2:M6)</f>
        <v>8.2524469093680441E-2</v>
      </c>
      <c r="N7" s="1">
        <f>AVERAGE(N2:N6)</f>
        <v>1085.5999999999999</v>
      </c>
      <c r="O7" s="1">
        <f>AVERAGE(O2:O6)</f>
        <v>1085.5999999999999</v>
      </c>
      <c r="P7" s="1">
        <f>AVERAGE(P2:P6)</f>
        <v>18471.800000000083</v>
      </c>
    </row>
    <row r="8" spans="1:16" x14ac:dyDescent="0.2">
      <c r="A8" t="s">
        <v>21</v>
      </c>
      <c r="B8">
        <v>57.733851803845297</v>
      </c>
      <c r="C8">
        <v>15.9999999997671</v>
      </c>
      <c r="D8">
        <v>49.999999999767098</v>
      </c>
      <c r="E8">
        <v>3.3940148473576102</v>
      </c>
      <c r="F8">
        <v>1</v>
      </c>
      <c r="G8">
        <v>9.3632958801498096E-4</v>
      </c>
      <c r="H8">
        <v>42.5</v>
      </c>
      <c r="I8">
        <v>18.766136576249199</v>
      </c>
      <c r="J8">
        <v>22</v>
      </c>
      <c r="K8">
        <v>0.58450225920592003</v>
      </c>
      <c r="L8">
        <v>2.3776391866196199E-2</v>
      </c>
      <c r="M8">
        <v>7.9778089007355904E-2</v>
      </c>
      <c r="N8">
        <v>1069</v>
      </c>
      <c r="O8">
        <v>1069</v>
      </c>
      <c r="P8">
        <v>18516</v>
      </c>
    </row>
    <row r="9" spans="1:16" x14ac:dyDescent="0.2">
      <c r="A9" t="s">
        <v>22</v>
      </c>
      <c r="B9">
        <v>55.2524979746158</v>
      </c>
      <c r="C9">
        <v>15.9999999997671</v>
      </c>
      <c r="D9">
        <v>67.000000000232802</v>
      </c>
      <c r="E9">
        <v>5.3301145550407902</v>
      </c>
      <c r="F9">
        <v>9</v>
      </c>
      <c r="G9">
        <v>8.8062622309197595E-3</v>
      </c>
      <c r="H9">
        <v>42.5</v>
      </c>
      <c r="I9">
        <v>17.2981427174971</v>
      </c>
      <c r="J9">
        <v>20</v>
      </c>
      <c r="K9">
        <v>0.66002542847019097</v>
      </c>
      <c r="L9">
        <v>2.67909451142582E-2</v>
      </c>
      <c r="M9">
        <v>8.6811653873005004E-2</v>
      </c>
      <c r="N9">
        <v>1023</v>
      </c>
      <c r="O9">
        <v>1023</v>
      </c>
      <c r="P9">
        <v>18514.999999999702</v>
      </c>
    </row>
    <row r="10" spans="1:16" x14ac:dyDescent="0.2">
      <c r="A10" t="s">
        <v>23</v>
      </c>
      <c r="B10">
        <v>58.8711855252497</v>
      </c>
      <c r="C10">
        <v>15.9999999997671</v>
      </c>
      <c r="D10">
        <v>34.000000000232802</v>
      </c>
      <c r="E10">
        <v>2.40942370998276</v>
      </c>
      <c r="F10">
        <v>0</v>
      </c>
      <c r="G10">
        <v>0</v>
      </c>
      <c r="H10">
        <v>42.5</v>
      </c>
      <c r="I10">
        <v>17.326605504579199</v>
      </c>
      <c r="J10">
        <v>20</v>
      </c>
      <c r="K10">
        <v>0.56373458520088204</v>
      </c>
      <c r="L10">
        <v>2.3192298566565801E-2</v>
      </c>
      <c r="M10">
        <v>8.3190277142226404E-2</v>
      </c>
      <c r="N10">
        <v>1090</v>
      </c>
      <c r="O10">
        <v>1090</v>
      </c>
      <c r="P10">
        <v>18515</v>
      </c>
    </row>
    <row r="11" spans="1:16" x14ac:dyDescent="0.2">
      <c r="A11" t="s">
        <v>24</v>
      </c>
      <c r="B11">
        <v>57.737966760198503</v>
      </c>
      <c r="C11">
        <v>15.9999999997671</v>
      </c>
      <c r="D11">
        <v>50</v>
      </c>
      <c r="E11">
        <v>3.4714440848108499</v>
      </c>
      <c r="F11">
        <v>2</v>
      </c>
      <c r="G11">
        <v>1.87090739008419E-3</v>
      </c>
      <c r="H11">
        <v>42.5</v>
      </c>
      <c r="I11">
        <v>17.324299065416799</v>
      </c>
      <c r="J11">
        <v>21.000000000232799</v>
      </c>
      <c r="K11">
        <v>0.60246478924386504</v>
      </c>
      <c r="L11">
        <v>2.4278215681836898E-2</v>
      </c>
      <c r="M11">
        <v>8.1760900946827503E-2</v>
      </c>
      <c r="N11">
        <v>1070</v>
      </c>
      <c r="O11">
        <v>1070</v>
      </c>
      <c r="P11">
        <v>18532</v>
      </c>
    </row>
    <row r="12" spans="1:16" x14ac:dyDescent="0.2">
      <c r="A12" t="s">
        <v>25</v>
      </c>
      <c r="B12">
        <v>55.906319140899001</v>
      </c>
      <c r="C12">
        <v>15.9999999997671</v>
      </c>
      <c r="D12">
        <v>50.000000000232802</v>
      </c>
      <c r="E12">
        <v>4.6264864888729003</v>
      </c>
      <c r="F12">
        <v>4</v>
      </c>
      <c r="G12">
        <v>3.8647342995168999E-3</v>
      </c>
      <c r="H12">
        <v>42.5</v>
      </c>
      <c r="I12">
        <v>17.282818532819402</v>
      </c>
      <c r="J12">
        <v>20</v>
      </c>
      <c r="K12">
        <v>0.61537451393915299</v>
      </c>
      <c r="L12">
        <v>2.5308625346667901E-2</v>
      </c>
      <c r="M12">
        <v>8.3878429798265403E-2</v>
      </c>
      <c r="N12">
        <v>1036</v>
      </c>
      <c r="O12">
        <v>1036</v>
      </c>
      <c r="P12">
        <v>18531</v>
      </c>
    </row>
    <row r="13" spans="1:16" x14ac:dyDescent="0.2">
      <c r="A13" s="1"/>
      <c r="B13" s="1">
        <f>AVERAGE(B8:B12)</f>
        <v>57.100364240961653</v>
      </c>
      <c r="C13" s="1">
        <f>AVERAGE(C8:C12)</f>
        <v>15.999999999767102</v>
      </c>
      <c r="D13" s="1">
        <f>AVERAGE(D8:D12)</f>
        <v>50.200000000093105</v>
      </c>
      <c r="E13" s="1">
        <f>AVERAGE(E8:E12)</f>
        <v>3.8462967372129824</v>
      </c>
      <c r="F13" s="1">
        <f>AVERAGE(F8:F12)</f>
        <v>3.2</v>
      </c>
      <c r="G13" s="1">
        <f>AVERAGE(G8:G12)</f>
        <v>3.0956467017071664E-3</v>
      </c>
      <c r="H13" s="1">
        <f>AVERAGE(H8:H12)</f>
        <v>42.5</v>
      </c>
      <c r="I13" s="1">
        <f>AVERAGE(I8:I12)</f>
        <v>17.59960047931234</v>
      </c>
      <c r="J13" s="1">
        <f>AVERAGE(J8:J12)</f>
        <v>20.60000000004656</v>
      </c>
      <c r="K13" s="1">
        <f>AVERAGE(K8:K12)</f>
        <v>0.60522031521200226</v>
      </c>
      <c r="L13" s="1">
        <f>AVERAGE(L8:L12)</f>
        <v>2.4669295315104998E-2</v>
      </c>
      <c r="M13" s="1">
        <f>AVERAGE(M8:M12)</f>
        <v>8.3083870153536049E-2</v>
      </c>
      <c r="N13" s="1">
        <f>AVERAGE(N8:N12)</f>
        <v>1057.5999999999999</v>
      </c>
      <c r="O13" s="1">
        <f>AVERAGE(O8:O12)</f>
        <v>1057.5999999999999</v>
      </c>
      <c r="P13" s="1">
        <f>AVERAGE(P8:P12)</f>
        <v>18521.799999999941</v>
      </c>
    </row>
    <row r="14" spans="1:16" x14ac:dyDescent="0.2">
      <c r="A14" t="s">
        <v>26</v>
      </c>
      <c r="B14">
        <v>57.890176540670701</v>
      </c>
      <c r="C14">
        <v>15.9999999995343</v>
      </c>
      <c r="D14">
        <v>49.999999999534303</v>
      </c>
      <c r="E14">
        <v>3.30078000181632</v>
      </c>
      <c r="F14">
        <v>1</v>
      </c>
      <c r="G14">
        <v>9.3632958801498096E-4</v>
      </c>
      <c r="H14">
        <v>42.5</v>
      </c>
      <c r="I14">
        <v>18.552853133754599</v>
      </c>
      <c r="J14">
        <v>22</v>
      </c>
      <c r="K14">
        <v>0.58012151071265605</v>
      </c>
      <c r="L14">
        <v>2.4055350304310701E-2</v>
      </c>
      <c r="M14">
        <v>8.4078784218623304E-2</v>
      </c>
      <c r="N14">
        <v>1069</v>
      </c>
      <c r="O14">
        <v>1069</v>
      </c>
      <c r="P14">
        <v>18465.999999999502</v>
      </c>
    </row>
    <row r="15" spans="1:16" x14ac:dyDescent="0.2">
      <c r="A15" t="s">
        <v>27</v>
      </c>
      <c r="B15">
        <v>56.216859647224297</v>
      </c>
      <c r="C15">
        <v>15.9999999995343</v>
      </c>
      <c r="D15">
        <v>67</v>
      </c>
      <c r="E15">
        <v>4.5412570077039298</v>
      </c>
      <c r="F15">
        <v>3</v>
      </c>
      <c r="G15">
        <v>2.8901734104046198E-3</v>
      </c>
      <c r="H15">
        <v>42.5</v>
      </c>
      <c r="I15">
        <v>17.227141482162502</v>
      </c>
      <c r="J15">
        <v>20.000000000465601</v>
      </c>
      <c r="K15">
        <v>0.61113855531060501</v>
      </c>
      <c r="L15">
        <v>2.5854435749541299E-2</v>
      </c>
      <c r="M15">
        <v>8.1984443966724802E-2</v>
      </c>
      <c r="N15">
        <v>1039</v>
      </c>
      <c r="O15">
        <v>1039</v>
      </c>
      <c r="P15">
        <v>18482</v>
      </c>
    </row>
    <row r="16" spans="1:16" x14ac:dyDescent="0.2">
      <c r="A16" t="s">
        <v>28</v>
      </c>
      <c r="B16">
        <v>57.1846712558946</v>
      </c>
      <c r="C16">
        <v>15.9999999995343</v>
      </c>
      <c r="D16">
        <v>50</v>
      </c>
      <c r="E16">
        <v>3.8206326929348702</v>
      </c>
      <c r="F16">
        <v>2</v>
      </c>
      <c r="G16">
        <v>1.89753320683111E-3</v>
      </c>
      <c r="H16">
        <v>42.5</v>
      </c>
      <c r="I16">
        <v>17.6075829384393</v>
      </c>
      <c r="J16">
        <v>19.000000000465601</v>
      </c>
      <c r="K16">
        <v>0.61779761410321199</v>
      </c>
      <c r="L16">
        <v>2.5191480403977898E-2</v>
      </c>
      <c r="M16">
        <v>8.7151069223123198E-2</v>
      </c>
      <c r="N16">
        <v>1055</v>
      </c>
      <c r="O16">
        <v>1055</v>
      </c>
      <c r="P16">
        <v>18449</v>
      </c>
    </row>
    <row r="17" spans="1:16" x14ac:dyDescent="0.2">
      <c r="A17" t="s">
        <v>29</v>
      </c>
      <c r="B17">
        <v>57.621422376409299</v>
      </c>
      <c r="C17">
        <v>15.9999999995343</v>
      </c>
      <c r="D17">
        <v>50</v>
      </c>
      <c r="E17">
        <v>3.48386470982713</v>
      </c>
      <c r="F17">
        <v>1</v>
      </c>
      <c r="G17">
        <v>9.4161958568738204E-4</v>
      </c>
      <c r="H17">
        <v>42.5</v>
      </c>
      <c r="I17">
        <v>17.587958607727501</v>
      </c>
      <c r="J17">
        <v>19</v>
      </c>
      <c r="K17">
        <v>0.59676443086679698</v>
      </c>
      <c r="L17">
        <v>2.45183110860102E-2</v>
      </c>
      <c r="M17">
        <v>8.2455681971447203E-2</v>
      </c>
      <c r="N17">
        <v>1063</v>
      </c>
      <c r="O17">
        <v>1063</v>
      </c>
      <c r="P17">
        <v>18448</v>
      </c>
    </row>
    <row r="18" spans="1:16" x14ac:dyDescent="0.2">
      <c r="A18" t="s">
        <v>30</v>
      </c>
      <c r="B18">
        <v>57.340072830045102</v>
      </c>
      <c r="C18">
        <v>15.9999999995343</v>
      </c>
      <c r="D18">
        <v>50</v>
      </c>
      <c r="E18">
        <v>3.9077954992508901</v>
      </c>
      <c r="F18">
        <v>5</v>
      </c>
      <c r="G18">
        <v>4.74383301707779E-3</v>
      </c>
      <c r="H18">
        <v>42.5</v>
      </c>
      <c r="I18">
        <v>17.268246445462299</v>
      </c>
      <c r="J18">
        <v>19</v>
      </c>
      <c r="K18">
        <v>0.59476714296516198</v>
      </c>
      <c r="L18">
        <v>2.39536294104855E-2</v>
      </c>
      <c r="M18">
        <v>8.2439214286823798E-2</v>
      </c>
      <c r="N18">
        <v>1055</v>
      </c>
      <c r="O18">
        <v>1055</v>
      </c>
      <c r="P18">
        <v>18399</v>
      </c>
    </row>
    <row r="19" spans="1:16" x14ac:dyDescent="0.2">
      <c r="A19" s="1"/>
      <c r="B19" s="1">
        <f>AVERAGE(B14:B18)</f>
        <v>57.250640530048805</v>
      </c>
      <c r="C19" s="1">
        <f>AVERAGE(C14:C18)</f>
        <v>15.9999999995343</v>
      </c>
      <c r="D19" s="1">
        <f>AVERAGE(D14:D18)</f>
        <v>53.399999999906868</v>
      </c>
      <c r="E19" s="1">
        <f>AVERAGE(E14:E18)</f>
        <v>3.8108659823066282</v>
      </c>
      <c r="F19" s="1">
        <f>AVERAGE(F14:F18)</f>
        <v>2.4</v>
      </c>
      <c r="G19" s="1">
        <f>AVERAGE(G14:G18)</f>
        <v>2.2818977616031765E-3</v>
      </c>
      <c r="H19" s="1">
        <f>AVERAGE(H14:H18)</f>
        <v>42.5</v>
      </c>
      <c r="I19" s="1">
        <f>AVERAGE(I14:I18)</f>
        <v>17.648756521509238</v>
      </c>
      <c r="J19" s="1">
        <f>AVERAGE(J14:J18)</f>
        <v>19.800000000186241</v>
      </c>
      <c r="K19" s="1">
        <f>AVERAGE(K14:K18)</f>
        <v>0.60011785079168645</v>
      </c>
      <c r="L19" s="1">
        <f>AVERAGE(L14:L18)</f>
        <v>2.4714641390865121E-2</v>
      </c>
      <c r="M19" s="1">
        <f>AVERAGE(M14:M18)</f>
        <v>8.3621838733348455E-2</v>
      </c>
      <c r="N19" s="1">
        <f>AVERAGE(N14:N18)</f>
        <v>1056.2</v>
      </c>
      <c r="O19" s="1">
        <f>AVERAGE(O14:O18)</f>
        <v>1056.2</v>
      </c>
      <c r="P19" s="1">
        <f>AVERAGE(P14:P18)</f>
        <v>18448.799999999901</v>
      </c>
    </row>
    <row r="20" spans="1:16" x14ac:dyDescent="0.2">
      <c r="A20" t="s">
        <v>31</v>
      </c>
      <c r="B20">
        <v>57.220338983050802</v>
      </c>
      <c r="C20">
        <v>7.9999999998835802</v>
      </c>
      <c r="D20">
        <v>58</v>
      </c>
      <c r="E20">
        <v>5.5253908237914002</v>
      </c>
      <c r="F20">
        <v>1</v>
      </c>
      <c r="G20">
        <v>1.18623962040332E-3</v>
      </c>
      <c r="H20">
        <v>42.5</v>
      </c>
      <c r="I20">
        <v>12.3708530805684</v>
      </c>
      <c r="J20">
        <v>21.000000000116401</v>
      </c>
      <c r="K20">
        <v>0.69676275205047</v>
      </c>
      <c r="L20">
        <v>3.91141623830593E-2</v>
      </c>
      <c r="M20">
        <v>9.9530667063644301E-2</v>
      </c>
      <c r="N20">
        <v>844</v>
      </c>
      <c r="O20">
        <v>844</v>
      </c>
      <c r="P20">
        <v>14750</v>
      </c>
    </row>
    <row r="21" spans="1:16" x14ac:dyDescent="0.2">
      <c r="A21" t="s">
        <v>32</v>
      </c>
      <c r="B21">
        <v>50.146089556295401</v>
      </c>
      <c r="C21">
        <v>7.9999999997671596</v>
      </c>
      <c r="D21">
        <v>67</v>
      </c>
      <c r="E21">
        <v>8.7976099370348795</v>
      </c>
      <c r="F21">
        <v>12</v>
      </c>
      <c r="G21">
        <v>1.6282225237449099E-2</v>
      </c>
      <c r="H21">
        <v>42.5</v>
      </c>
      <c r="I21">
        <v>12.384823848251701</v>
      </c>
      <c r="J21">
        <v>18.000000000232799</v>
      </c>
      <c r="K21">
        <v>0.66483357442607705</v>
      </c>
      <c r="L21">
        <v>3.3552928486924503E-2</v>
      </c>
      <c r="M21">
        <v>9.1578458151110903E-2</v>
      </c>
      <c r="N21">
        <v>738</v>
      </c>
      <c r="O21">
        <v>738</v>
      </c>
      <c r="P21">
        <v>14717</v>
      </c>
    </row>
    <row r="22" spans="1:16" x14ac:dyDescent="0.2">
      <c r="A22" s="1"/>
      <c r="B22" s="1">
        <f>AVERAGE(B20:B21)</f>
        <v>53.683214269673101</v>
      </c>
      <c r="C22" s="1">
        <f>AVERAGE(C20:C21)</f>
        <v>7.9999999998253699</v>
      </c>
      <c r="D22" s="1">
        <f>AVERAGE(D20:D21)</f>
        <v>62.5</v>
      </c>
      <c r="E22" s="1">
        <f>AVERAGE(E20:E21)</f>
        <v>7.1615003804131394</v>
      </c>
      <c r="F22" s="1">
        <f>AVERAGE(F20:F21)</f>
        <v>6.5</v>
      </c>
      <c r="G22" s="1">
        <f>AVERAGE(G20:G21)</f>
        <v>8.7342324289262103E-3</v>
      </c>
      <c r="H22" s="1">
        <f>AVERAGE(H20:H21)</f>
        <v>42.5</v>
      </c>
      <c r="I22" s="1">
        <f>AVERAGE(I20:I21)</f>
        <v>12.377838464410051</v>
      </c>
      <c r="J22" s="1">
        <f>AVERAGE(J20:J21)</f>
        <v>19.500000000174602</v>
      </c>
      <c r="K22" s="1">
        <f>AVERAGE(K20:K21)</f>
        <v>0.68079816323827358</v>
      </c>
      <c r="L22" s="1">
        <f>AVERAGE(L20:L21)</f>
        <v>3.6333545434991898E-2</v>
      </c>
      <c r="M22" s="1">
        <f>AVERAGE(M20:M21)</f>
        <v>9.5554562607377602E-2</v>
      </c>
      <c r="N22" s="1">
        <f>AVERAGE(N20:N21)</f>
        <v>791</v>
      </c>
      <c r="O22" s="1">
        <f>AVERAGE(O20:O21)</f>
        <v>791</v>
      </c>
      <c r="P22" s="1">
        <f>AVERAGE(P20:P21)</f>
        <v>14733.5</v>
      </c>
    </row>
    <row r="23" spans="1:16" x14ac:dyDescent="0.2">
      <c r="A23" t="s">
        <v>33</v>
      </c>
      <c r="B23">
        <v>57.520789348959397</v>
      </c>
      <c r="C23">
        <v>7.9999999999854401</v>
      </c>
      <c r="D23">
        <v>42</v>
      </c>
      <c r="E23">
        <v>5.1000216753321297</v>
      </c>
      <c r="F23">
        <v>0</v>
      </c>
      <c r="G23">
        <v>0</v>
      </c>
      <c r="H23">
        <v>42.5</v>
      </c>
      <c r="I23">
        <v>12.319101123595599</v>
      </c>
      <c r="J23">
        <v>18.000000000014499</v>
      </c>
      <c r="K23">
        <v>0.331360739897894</v>
      </c>
      <c r="L23">
        <v>1.3865072090972499E-2</v>
      </c>
      <c r="M23">
        <v>0.101442763879591</v>
      </c>
      <c r="N23">
        <v>1335</v>
      </c>
      <c r="O23">
        <v>1335</v>
      </c>
      <c r="P23">
        <v>23209</v>
      </c>
    </row>
    <row r="24" spans="1:16" x14ac:dyDescent="0.2">
      <c r="A24" t="s">
        <v>34</v>
      </c>
      <c r="B24">
        <v>57.3031283710894</v>
      </c>
      <c r="C24">
        <v>7.99999999997089</v>
      </c>
      <c r="D24">
        <v>58</v>
      </c>
      <c r="E24">
        <v>5.1044884526677503</v>
      </c>
      <c r="F24">
        <v>1</v>
      </c>
      <c r="G24">
        <v>7.5357950263752805E-4</v>
      </c>
      <c r="H24">
        <v>42.5</v>
      </c>
      <c r="I24">
        <v>12.272590361446399</v>
      </c>
      <c r="J24">
        <v>18</v>
      </c>
      <c r="K24">
        <v>0.34769884721396999</v>
      </c>
      <c r="L24">
        <v>1.3867875238902899E-2</v>
      </c>
      <c r="M24">
        <v>9.96812322400078E-2</v>
      </c>
      <c r="N24">
        <v>1328</v>
      </c>
      <c r="O24">
        <v>1328</v>
      </c>
      <c r="P24">
        <v>23175</v>
      </c>
    </row>
    <row r="25" spans="1:16" x14ac:dyDescent="0.2">
      <c r="A25" t="s">
        <v>35</v>
      </c>
      <c r="B25">
        <v>54.6686227131515</v>
      </c>
      <c r="C25">
        <v>7.9999999990686703</v>
      </c>
      <c r="D25">
        <v>59.000000000931301</v>
      </c>
      <c r="E25">
        <v>6.5615982048206698</v>
      </c>
      <c r="F25">
        <v>8</v>
      </c>
      <c r="G25">
        <v>6.3191153238546603E-3</v>
      </c>
      <c r="H25">
        <v>42.5</v>
      </c>
      <c r="I25">
        <v>12.4554064719935</v>
      </c>
      <c r="J25">
        <v>19</v>
      </c>
      <c r="K25">
        <v>0.43637293108349801</v>
      </c>
      <c r="L25">
        <v>1.48853973624161E-2</v>
      </c>
      <c r="M25">
        <v>9.8469181770283007E-2</v>
      </c>
      <c r="N25">
        <v>1267</v>
      </c>
      <c r="O25">
        <v>1267</v>
      </c>
      <c r="P25">
        <v>23176</v>
      </c>
    </row>
    <row r="26" spans="1:16" x14ac:dyDescent="0.2">
      <c r="A26" t="s">
        <v>36</v>
      </c>
      <c r="B26">
        <v>53.855834743739898</v>
      </c>
      <c r="C26">
        <v>7.9999999999927196</v>
      </c>
      <c r="D26">
        <v>58</v>
      </c>
      <c r="E26">
        <v>6.40875436759947</v>
      </c>
      <c r="F26">
        <v>2</v>
      </c>
      <c r="G26">
        <v>1.6129032258064501E-3</v>
      </c>
      <c r="H26">
        <v>42.5</v>
      </c>
      <c r="I26">
        <v>12.3319903303787</v>
      </c>
      <c r="J26">
        <v>18</v>
      </c>
      <c r="K26">
        <v>0.45522333068522702</v>
      </c>
      <c r="L26">
        <v>1.53849853850052E-2</v>
      </c>
      <c r="M26">
        <v>9.8787887682979303E-2</v>
      </c>
      <c r="N26">
        <v>1241</v>
      </c>
      <c r="O26">
        <v>1241</v>
      </c>
      <c r="P26">
        <v>23043</v>
      </c>
    </row>
    <row r="27" spans="1:16" x14ac:dyDescent="0.2">
      <c r="A27" t="s">
        <v>37</v>
      </c>
      <c r="B27">
        <v>56.349583315341697</v>
      </c>
      <c r="C27">
        <v>7.9999999999981801</v>
      </c>
      <c r="D27">
        <v>58.000000000001798</v>
      </c>
      <c r="E27">
        <v>5.6138434281576099</v>
      </c>
      <c r="F27">
        <v>3</v>
      </c>
      <c r="G27">
        <v>2.3006134969325099E-3</v>
      </c>
      <c r="H27">
        <v>42.5</v>
      </c>
      <c r="I27">
        <v>12.2260536398467</v>
      </c>
      <c r="J27">
        <v>20.000000000001801</v>
      </c>
      <c r="K27">
        <v>0.360627266529918</v>
      </c>
      <c r="L27">
        <v>1.35286514963223E-2</v>
      </c>
      <c r="M27">
        <v>0.101870448135781</v>
      </c>
      <c r="N27">
        <v>1305</v>
      </c>
      <c r="O27">
        <v>1305</v>
      </c>
      <c r="P27">
        <v>23159</v>
      </c>
    </row>
    <row r="28" spans="1:16" x14ac:dyDescent="0.2">
      <c r="A28" t="s">
        <v>38</v>
      </c>
      <c r="B28">
        <v>56.314215112498303</v>
      </c>
      <c r="C28">
        <v>7.9999999999854401</v>
      </c>
      <c r="D28">
        <v>42</v>
      </c>
      <c r="E28">
        <v>5.5910341480850603</v>
      </c>
      <c r="F28">
        <v>0</v>
      </c>
      <c r="G28">
        <v>0</v>
      </c>
      <c r="H28">
        <v>42.5</v>
      </c>
      <c r="I28">
        <v>12.846035411854199</v>
      </c>
      <c r="J28">
        <v>21</v>
      </c>
      <c r="K28">
        <v>0.39002298502011201</v>
      </c>
      <c r="L28">
        <v>1.5511529914386601E-2</v>
      </c>
      <c r="M28">
        <v>9.97140442085718E-2</v>
      </c>
      <c r="N28">
        <v>1299</v>
      </c>
      <c r="O28">
        <v>1299</v>
      </c>
      <c r="P28">
        <v>23067</v>
      </c>
    </row>
    <row r="29" spans="1:16" x14ac:dyDescent="0.2">
      <c r="A29" s="1"/>
      <c r="B29" s="1">
        <f>AVERAGE(B23:B28)</f>
        <v>56.002028934130031</v>
      </c>
      <c r="C29" s="1">
        <f>AVERAGE(C23:C28)</f>
        <v>7.9999999998335563</v>
      </c>
      <c r="D29" s="1">
        <f>AVERAGE(D23:D28)</f>
        <v>52.833333333488845</v>
      </c>
      <c r="E29" s="1">
        <f>AVERAGE(E23:E28)</f>
        <v>5.7299567127771143</v>
      </c>
      <c r="F29" s="1">
        <f>AVERAGE(F23:F28)</f>
        <v>2.3333333333333335</v>
      </c>
      <c r="G29" s="1">
        <f>AVERAGE(G23:G28)</f>
        <v>1.8310352582051916E-3</v>
      </c>
      <c r="H29" s="1">
        <f>AVERAGE(H23:H28)</f>
        <v>42.5</v>
      </c>
      <c r="I29" s="1">
        <f>AVERAGE(I23:I28)</f>
        <v>12.408529556519184</v>
      </c>
      <c r="J29" s="1">
        <f>AVERAGE(J23:J28)</f>
        <v>19.000000000002718</v>
      </c>
      <c r="K29" s="1">
        <f>AVERAGE(K23:K28)</f>
        <v>0.3868843500717698</v>
      </c>
      <c r="L29" s="1">
        <f>AVERAGE(L23:L28)</f>
        <v>1.4507251914667599E-2</v>
      </c>
      <c r="M29" s="1">
        <f>AVERAGE(M23:M28)</f>
        <v>9.9994259652868969E-2</v>
      </c>
      <c r="N29" s="1">
        <f>AVERAGE(N23:N28)</f>
        <v>1295.8333333333333</v>
      </c>
      <c r="O29" s="1">
        <f>AVERAGE(O23:O28)</f>
        <v>1295.8333333333333</v>
      </c>
      <c r="P29" s="1">
        <f>AVERAGE(P23:P28)</f>
        <v>23138.166666666668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data_versionsummary_report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</dc:creator>
  <cp:lastModifiedBy>hank</cp:lastModifiedBy>
  <dcterms:created xsi:type="dcterms:W3CDTF">2025-08-28T00:53:52Z</dcterms:created>
  <dcterms:modified xsi:type="dcterms:W3CDTF">2025-08-28T10:33:10Z</dcterms:modified>
</cp:coreProperties>
</file>