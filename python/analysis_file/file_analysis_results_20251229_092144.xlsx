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analysis_file\"/>
    </mc:Choice>
  </mc:AlternateContent>
  <xr:revisionPtr revIDLastSave="0" documentId="13_ncr:1_{458E6078-49CC-4C1D-AA70-C54312CBDC0D}" xr6:coauthVersionLast="47" xr6:coauthVersionMax="47" xr10:uidLastSave="{00000000-0000-0000-0000-000000000000}"/>
  <bookViews>
    <workbookView xWindow="27360" yWindow="45" windowWidth="29145" windowHeight="14250" activeTab="5" xr2:uid="{8AD5013D-6A78-42B2-9C34-47D6A32894C3}"/>
  </bookViews>
  <sheets>
    <sheet name="file_analysis_results_20251229_" sheetId="1" r:id="rId1"/>
    <sheet name="SelfDeveloped" sheetId="2" r:id="rId2"/>
    <sheet name="Sales" sheetId="4" r:id="rId3"/>
    <sheet name="自研固件占比透视表" sheetId="13" r:id="rId4"/>
    <sheet name="自研固件占比" sheetId="17" r:id="rId5"/>
    <sheet name="固件销量表" sheetId="5" r:id="rId6"/>
  </sheets>
  <definedNames>
    <definedName name="_xlnm._FilterDatabase" localSheetId="0" hidden="1">file_analysis_results_20251229_!$H$1:$H$570</definedName>
    <definedName name="_xlnm._FilterDatabase" localSheetId="4" hidden="1">自研固件占比!$B$1:$B$55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7" l="1"/>
  <c r="D52" i="17"/>
  <c r="C52" i="17"/>
  <c r="B55" i="17" s="1"/>
  <c r="B53" i="17"/>
  <c r="D49" i="17"/>
  <c r="C49" i="17"/>
  <c r="B79" i="4"/>
  <c r="C79" i="4" s="1"/>
  <c r="B78" i="4"/>
  <c r="C78" i="4" s="1"/>
  <c r="B77" i="4"/>
  <c r="C77" i="4" s="1"/>
  <c r="B76" i="4"/>
  <c r="C76" i="4" s="1"/>
  <c r="B75" i="4"/>
  <c r="C75" i="4" s="1"/>
  <c r="B74" i="4"/>
  <c r="C74" i="4" s="1"/>
  <c r="B73" i="4"/>
  <c r="C73" i="4" s="1"/>
  <c r="B72" i="4"/>
  <c r="C72" i="4" s="1"/>
  <c r="B71" i="4"/>
  <c r="C71" i="4" s="1"/>
  <c r="B70" i="4"/>
  <c r="C70" i="4" s="1"/>
  <c r="B69" i="4"/>
  <c r="C69" i="4" s="1"/>
  <c r="B68" i="4"/>
  <c r="C68" i="4" s="1"/>
  <c r="B67" i="4"/>
  <c r="C67" i="4" s="1"/>
  <c r="B66" i="4"/>
  <c r="C66" i="4" s="1"/>
  <c r="B65" i="4"/>
  <c r="C65" i="4" s="1"/>
  <c r="B64" i="4"/>
  <c r="C64" i="4" s="1"/>
  <c r="B63" i="4"/>
  <c r="C63" i="4" s="1"/>
  <c r="B62" i="4"/>
  <c r="C62" i="4" s="1"/>
  <c r="B61" i="4"/>
  <c r="C61" i="4" s="1"/>
  <c r="B60" i="4"/>
  <c r="C60" i="4" s="1"/>
  <c r="B59" i="4"/>
  <c r="C59" i="4" s="1"/>
  <c r="B58" i="4"/>
  <c r="C58" i="4" s="1"/>
  <c r="B57" i="4"/>
  <c r="C57" i="4" s="1"/>
  <c r="B56" i="4"/>
  <c r="C56" i="4" s="1"/>
  <c r="B55" i="4"/>
  <c r="C55" i="4" s="1"/>
  <c r="B54" i="4"/>
  <c r="C54" i="4" s="1"/>
  <c r="B53" i="4"/>
  <c r="C53" i="4" s="1"/>
  <c r="B52" i="4"/>
  <c r="C52" i="4" s="1"/>
  <c r="B51" i="4"/>
  <c r="C51" i="4" s="1"/>
  <c r="B50" i="4"/>
  <c r="C50" i="4" s="1"/>
  <c r="B49" i="4"/>
  <c r="C49" i="4" s="1"/>
  <c r="B48" i="4"/>
  <c r="C48" i="4" s="1"/>
  <c r="B47" i="4"/>
  <c r="C47" i="4" s="1"/>
  <c r="B46" i="4"/>
  <c r="C46" i="4" s="1"/>
  <c r="B45" i="4"/>
  <c r="C45" i="4" s="1"/>
  <c r="B44" i="4"/>
  <c r="C44" i="4" s="1"/>
  <c r="B43" i="4"/>
  <c r="C43" i="4" s="1"/>
  <c r="B42" i="4"/>
  <c r="C42" i="4" s="1"/>
  <c r="B41" i="4"/>
  <c r="C41" i="4" s="1"/>
  <c r="B40" i="4"/>
  <c r="C40" i="4" s="1"/>
  <c r="B39" i="4"/>
  <c r="C39" i="4" s="1"/>
  <c r="B38" i="4"/>
  <c r="C38" i="4" s="1"/>
  <c r="B37" i="4"/>
  <c r="C37" i="4" s="1"/>
  <c r="B36" i="4"/>
  <c r="C36" i="4" s="1"/>
  <c r="B35" i="4"/>
  <c r="C35" i="4" s="1"/>
  <c r="B34" i="4"/>
  <c r="C34" i="4" s="1"/>
  <c r="B33" i="4"/>
  <c r="C33" i="4" s="1"/>
  <c r="B32" i="4"/>
  <c r="C32" i="4" s="1"/>
  <c r="B31" i="4"/>
  <c r="C31" i="4" s="1"/>
  <c r="B30" i="4"/>
  <c r="C30" i="4" s="1"/>
  <c r="B29" i="4"/>
  <c r="C29" i="4" s="1"/>
  <c r="B28" i="4"/>
  <c r="C28" i="4" s="1"/>
  <c r="B27" i="4"/>
  <c r="C27" i="4" s="1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F100" i="1"/>
  <c r="F8" i="1"/>
  <c r="F570" i="1"/>
  <c r="F566" i="1"/>
  <c r="F565" i="1"/>
  <c r="F564" i="1"/>
  <c r="F563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1" i="1"/>
  <c r="F530" i="1"/>
  <c r="F529" i="1"/>
  <c r="F528" i="1"/>
  <c r="F527" i="1"/>
  <c r="F526" i="1"/>
  <c r="F525" i="1"/>
  <c r="F524" i="1"/>
  <c r="F523" i="1"/>
  <c r="F514" i="1"/>
  <c r="F513" i="1"/>
  <c r="F501" i="1"/>
  <c r="F500" i="1"/>
  <c r="F499" i="1"/>
  <c r="F498" i="1"/>
  <c r="F490" i="1"/>
  <c r="F489" i="1"/>
  <c r="F488" i="1"/>
  <c r="F484" i="1"/>
  <c r="F483" i="1"/>
  <c r="F482" i="1"/>
  <c r="F474" i="1"/>
  <c r="F472" i="1"/>
  <c r="F471" i="1"/>
  <c r="F470" i="1"/>
  <c r="F469" i="1"/>
  <c r="F468" i="1"/>
  <c r="F464" i="1"/>
  <c r="F463" i="1"/>
  <c r="F462" i="1"/>
  <c r="F461" i="1"/>
  <c r="F437" i="1"/>
  <c r="F436" i="1"/>
  <c r="F435" i="1"/>
  <c r="F401" i="1"/>
  <c r="F397" i="1"/>
  <c r="F395" i="1"/>
  <c r="F390" i="1"/>
  <c r="F389" i="1"/>
  <c r="F375" i="1"/>
  <c r="F374" i="1"/>
  <c r="F373" i="1"/>
  <c r="F362" i="1"/>
  <c r="F361" i="1"/>
  <c r="F360" i="1"/>
  <c r="F345" i="1"/>
  <c r="F344" i="1"/>
  <c r="F343" i="1"/>
  <c r="F339" i="1"/>
  <c r="F338" i="1"/>
  <c r="F337" i="1"/>
  <c r="F336" i="1"/>
  <c r="F335" i="1"/>
  <c r="F334" i="1"/>
  <c r="F315" i="1"/>
  <c r="F314" i="1"/>
  <c r="F313" i="1"/>
  <c r="F276" i="1"/>
  <c r="F275" i="1"/>
  <c r="F274" i="1"/>
  <c r="F270" i="1"/>
  <c r="F269" i="1"/>
  <c r="F268" i="1"/>
  <c r="F267" i="1"/>
  <c r="F247" i="1"/>
  <c r="F246" i="1"/>
  <c r="F245" i="1"/>
  <c r="F244" i="1"/>
  <c r="F239" i="1"/>
  <c r="F238" i="1"/>
  <c r="F235" i="1"/>
  <c r="F234" i="1"/>
  <c r="F211" i="1"/>
  <c r="F210" i="1"/>
  <c r="F209" i="1"/>
  <c r="F202" i="1"/>
  <c r="F201" i="1"/>
  <c r="F200" i="1"/>
  <c r="F193" i="1"/>
  <c r="F181" i="1"/>
  <c r="F180" i="1"/>
  <c r="F177" i="1"/>
  <c r="F176" i="1"/>
  <c r="F173" i="1"/>
  <c r="F172" i="1"/>
  <c r="F171" i="1"/>
  <c r="F168" i="1"/>
  <c r="F167" i="1"/>
  <c r="F166" i="1"/>
  <c r="F160" i="1"/>
  <c r="F159" i="1"/>
  <c r="F158" i="1"/>
  <c r="F136" i="1"/>
  <c r="F135" i="1"/>
  <c r="F134" i="1"/>
  <c r="F133" i="1"/>
  <c r="F132" i="1"/>
  <c r="F131" i="1"/>
  <c r="F130" i="1"/>
  <c r="F129" i="1"/>
  <c r="F118" i="1"/>
  <c r="F117" i="1"/>
  <c r="F116" i="1"/>
  <c r="F105" i="1"/>
  <c r="F104" i="1"/>
  <c r="F103" i="1"/>
  <c r="F102" i="1"/>
  <c r="F101" i="1"/>
  <c r="F50" i="1"/>
  <c r="F49" i="1"/>
  <c r="F48" i="1"/>
  <c r="F38" i="1"/>
  <c r="F37" i="1"/>
  <c r="F36" i="1"/>
  <c r="F35" i="1"/>
  <c r="F34" i="1"/>
  <c r="F33" i="1"/>
  <c r="F32" i="1"/>
  <c r="F31" i="1"/>
  <c r="F30" i="1"/>
  <c r="F29" i="1"/>
  <c r="F15" i="1"/>
  <c r="F14" i="1"/>
  <c r="F13" i="1"/>
  <c r="F12" i="1"/>
  <c r="F11" i="1"/>
  <c r="F10" i="1"/>
  <c r="F9" i="1"/>
  <c r="F7" i="1"/>
  <c r="F6" i="1"/>
  <c r="F5" i="1"/>
  <c r="F4" i="1"/>
  <c r="F3" i="1"/>
  <c r="F2" i="1"/>
  <c r="C1048576" i="17" l="1"/>
</calcChain>
</file>

<file path=xl/sharedStrings.xml><?xml version="1.0" encoding="utf-8"?>
<sst xmlns="http://schemas.openxmlformats.org/spreadsheetml/2006/main" count="5769" uniqueCount="2566">
  <si>
    <t>filename</t>
  </si>
  <si>
    <t>projectname</t>
  </si>
  <si>
    <t>country</t>
  </si>
  <si>
    <t>version</t>
  </si>
  <si>
    <t>date</t>
  </si>
  <si>
    <t>crc</t>
  </si>
  <si>
    <t>release</t>
  </si>
  <si>
    <t>file_size</t>
  </si>
  <si>
    <t>full_path</t>
  </si>
  <si>
    <t>BK2007_DE_0.11.4.241126_E98C_beta_Encrypt.bin</t>
  </si>
  <si>
    <t>BK2007</t>
  </si>
  <si>
    <t>DE</t>
  </si>
  <si>
    <t>0.11.4</t>
  </si>
  <si>
    <t>E98C</t>
  </si>
  <si>
    <t>beta</t>
  </si>
  <si>
    <t>D:\Data\Document\ProductsLibrary\C线产品资料库\BK2007\beta\BK2007_0.11.4.241126_beta\DE\BK2007_DE_0.11.4.241126_E98C_beta_Encrypt.bin</t>
  </si>
  <si>
    <t>BK2007_DE_0.11.4.241126_EFE1_beta_Open.bin</t>
  </si>
  <si>
    <t>EFE1</t>
  </si>
  <si>
    <t>D:\Data\Document\ProductsLibrary\C线产品资料库\BK2007\beta\BK2007_0.11.4.241126_beta\DE\BK2007_DE_0.11.4.241126_EFE1_beta_Open.bin</t>
  </si>
  <si>
    <t>BK2007_UK_0.11.4.241126_E9A5_beta_Encrypt.bin</t>
  </si>
  <si>
    <t>UK</t>
  </si>
  <si>
    <t>E9A5</t>
  </si>
  <si>
    <t>D:\Data\Document\ProductsLibrary\C线产品资料库\BK2007\beta\BK2007_0.11.4.241126_beta\UK\BK2007_UK_0.11.4.241126_E9A5_beta_Encrypt.bin</t>
  </si>
  <si>
    <t>BK2007_UK_0.11.4.241126_EFFA_beta_Open.bin</t>
  </si>
  <si>
    <t>EFFA</t>
  </si>
  <si>
    <t>D:\Data\Document\ProductsLibrary\C线产品资料库\BK2007\beta\BK2007_0.11.4.241126_beta\UK\BK2007_UK_0.11.4.241126_EFFA_beta_Open.bin</t>
  </si>
  <si>
    <t>BK2007_US_0.11.4.241126_E8E1_beta_Encrypt.bin</t>
  </si>
  <si>
    <t>US</t>
  </si>
  <si>
    <t>E8E1</t>
  </si>
  <si>
    <t>D:\Data\Document\ProductsLibrary\C线产品资料库\BK2007\beta\BK2007_0.11.4.241126_beta\US\BK2007_US_0.11.4.241126_E8E1_beta_Encrypt.bin</t>
  </si>
  <si>
    <t>BK2007_US_0.11.4.241126_EF36_beta_Open.bin</t>
  </si>
  <si>
    <t>EF36</t>
  </si>
  <si>
    <t>D:\Data\Document\ProductsLibrary\C线产品资料库\BK2007\beta\BK2007_0.11.4.241126_beta\US\BK2007_US_0.11.4.241126_EF36_beta_Open.bin</t>
  </si>
  <si>
    <t>BK2007_DE_0.11.8.250409_B8A9_beta_Open.bin</t>
  </si>
  <si>
    <t>0.11.8</t>
  </si>
  <si>
    <t>B8A9</t>
  </si>
  <si>
    <t>D:\Data\Document\ProductsLibrary\C线产品资料库\BK2007\beta\BK2007_0.11.8.250409_beta\DE\BK2007_DE_0.11.8.250409_B8A9_beta_Open.bin</t>
  </si>
  <si>
    <t>BK2007_UK_0.11.8.250409_B8C2_beta_Open.bin</t>
  </si>
  <si>
    <t>B8C2</t>
  </si>
  <si>
    <t>D:\Data\Document\ProductsLibrary\C线产品资料库\BK2007\beta\BK2007_0.11.8.250409_beta\UK\BK2007_UK_0.11.8.250409_B8C2_beta_Open.bin</t>
  </si>
  <si>
    <t>BK2007_US_0.11.8.250409_98C4_beta_Open.bin</t>
  </si>
  <si>
    <t>98C4</t>
  </si>
  <si>
    <t>D:\Data\Document\ProductsLibrary\C线产品资料库\BK2007\beta\BK2007_0.11.8.250409_beta\US\BK2007_US_0.11.8.250409_98C4_beta_Open.bin</t>
  </si>
  <si>
    <t>BK2007_DE_0.12.1.250418_14A2_beta_Open.bin</t>
  </si>
  <si>
    <t>0.12.1</t>
  </si>
  <si>
    <t>14A2</t>
  </si>
  <si>
    <t>D:\Data\Document\ProductsLibrary\C线产品资料库\BK2007\beta\BK2007_0.12.1.250418_beta\DE\BK2007_DE_0.12.1.250418_14A2_beta_Open.bin</t>
  </si>
  <si>
    <t>BK2007_UK_0.12.1.250418_14BB_beta_Open.bin</t>
  </si>
  <si>
    <t>14BB</t>
  </si>
  <si>
    <t>D:\Data\Document\ProductsLibrary\C线产品资料库\BK2007\beta\BK2007_0.12.1.250418_beta\UK\BK2007_UK_0.12.1.250418_14BB_beta_Open.bin</t>
  </si>
  <si>
    <t>BK2007_US_0.12.1.250418_F6C4_beta_Open.bin</t>
  </si>
  <si>
    <t>F6C4</t>
  </si>
  <si>
    <t>D:\Data\Document\ProductsLibrary\C线产品资料库\BK2007\beta\BK2007_0.12.1.250418_beta\US\BK2007_US_0.12.1.250418_F6C4_beta_Open.bin</t>
  </si>
  <si>
    <t>BK2007_DE_0.12.3.250429_F15B_beta_Open.bin</t>
  </si>
  <si>
    <t>0.12.3</t>
  </si>
  <si>
    <t>F15B</t>
  </si>
  <si>
    <t>D:\Data\Document\ProductsLibrary\C线产品资料库\BK2007\beta\BK2007_0.12.3.250429_beta\DE\BK2007_DE_0.12.3.250429_F15B_beta_Open.bin</t>
  </si>
  <si>
    <t>BK2007_UK_0.12.3.250429_F174_beta_Open.bin</t>
  </si>
  <si>
    <t>F174</t>
  </si>
  <si>
    <t>D:\Data\Document\ProductsLibrary\C线产品资料库\BK2007\beta\BK2007_0.12.3.250429_beta\UK\BK2007_UK_0.12.3.250429_F174_beta_Open.bin</t>
  </si>
  <si>
    <t>BK2007_US_0.12.3.250429_D477_beta_Open.bin</t>
  </si>
  <si>
    <t>D477</t>
  </si>
  <si>
    <t>D:\Data\Document\ProductsLibrary\C线产品资料库\BK2007\beta\BK2007_0.12.3.250429_beta\US\BK2007_US_0.12.3.250429_D477_beta_Open.bin</t>
  </si>
  <si>
    <t>BK2007_DE_0.12.4.250623_F389_beta_Open.bin</t>
  </si>
  <si>
    <t>0.12.4</t>
  </si>
  <si>
    <t>F389</t>
  </si>
  <si>
    <t>D:\Data\Document\ProductsLibrary\C线产品资料库\BK2007\beta\BK2007_0.12.4.250623_beta\DE\BK2007_DE_0.12.4.250623_F389_beta_Open.bin</t>
  </si>
  <si>
    <t>BK2007_UK_0.12.4.250623_F3A2_beta_Open.bin</t>
  </si>
  <si>
    <t>F3A2</t>
  </si>
  <si>
    <t>D:\Data\Document\ProductsLibrary\C线产品资料库\BK2007\beta\BK2007_0.12.4.250623_beta\UK\BK2007_UK_0.12.4.250623_F3A2_beta_Open.bin</t>
  </si>
  <si>
    <t>BK2007_US_0.12.4.250623_F2DE_beta_Open.bin</t>
  </si>
  <si>
    <t>F2DE</t>
  </si>
  <si>
    <t>D:\Data\Document\ProductsLibrary\C线产品资料库\BK2007\beta\BK2007_0.12.4.250623_beta\US\BK2007_US_0.12.4.250623_F2DE_beta_Open.bin</t>
  </si>
  <si>
    <t>D:\Data\Document\ProductsLibrary\C线产品资料库\BK2007\固件\beta\BK2007_0.12.4.250623_beta\DE\BK2007_DE_0.12.4.250623_F389_beta_Open.bin</t>
  </si>
  <si>
    <t>D:\Data\Document\ProductsLibrary\C线产品资料库\BK2007\固件\beta\BK2007_0.12.4.250623_beta\UK\BK2007_UK_0.12.4.250623_F3A2_beta_Open.bin</t>
  </si>
  <si>
    <t>D:\Data\Document\ProductsLibrary\C线产品资料库\BK2007\固件\beta\BK2007_0.12.4.250623_beta\US\BK2007_US_0.12.4.250623_F2DE_beta_Open.bin</t>
  </si>
  <si>
    <t>BK2007_DE_ES_IT_0.12.5.250806_FC7D_beta_Open.bin</t>
  </si>
  <si>
    <t>IT</t>
  </si>
  <si>
    <t>0.12.5</t>
  </si>
  <si>
    <t>FC7D</t>
  </si>
  <si>
    <t>D:\Data\Document\ProductsLibrary\C线产品资料库\BK2007\固件\beta\BK2007_0.12.5.250806_beta\DE_ES_IT\BK2007_DE_ES_IT_0.12.5.250806_FC7D_beta_Open.bin</t>
  </si>
  <si>
    <t>BK2007_FR_0.12.5.250806_3D2E_beta_Open.bin</t>
  </si>
  <si>
    <t>FR</t>
  </si>
  <si>
    <t>3D2E</t>
  </si>
  <si>
    <t>D:\Data\Document\ProductsLibrary\C线产品资料库\BK2007\固件\beta\BK2007_0.12.5.250806_beta\FR\BK2007_FR_0.12.5.250806_3D2E_beta_Open.bin</t>
  </si>
  <si>
    <t>BK2007_DE_0.11.4.241126_E98C_release_Encrypt.bin</t>
  </si>
  <si>
    <t>D:\Data\Document\ProductsLibrary\C线产品资料库\BK2007\固件\release\BK2007_0.11.4.241126_release\DE\BK2007_DE_0.11.4.241126_E98C_release_Encrypt.bin</t>
  </si>
  <si>
    <t>BK2007_DE_0.11.4.241126_EFE1_release_Open.bin</t>
  </si>
  <si>
    <t>D:\Data\Document\ProductsLibrary\C线产品资料库\BK2007\固件\release\BK2007_0.11.4.241126_release\DE\BK2007_DE_0.11.4.241126_EFE1_release_Open.bin</t>
  </si>
  <si>
    <t>BK2007_UK_0.11.4.241126_E9A5_release_Encrypt.bin</t>
  </si>
  <si>
    <t>D:\Data\Document\ProductsLibrary\C线产品资料库\BK2007\固件\release\BK2007_0.11.4.241126_release\UK\BK2007_UK_0.11.4.241126_E9A5_release_Encrypt.bin</t>
  </si>
  <si>
    <t>BK2007_UK_0.11.4.241126_EFFA_release_Open.bin</t>
  </si>
  <si>
    <t>D:\Data\Document\ProductsLibrary\C线产品资料库\BK2007\固件\release\BK2007_0.11.4.241126_release\UK\BK2007_UK_0.11.4.241126_EFFA_release_Open.bin</t>
  </si>
  <si>
    <t>BK2007_US_0.11.4.241126_E8E1_release_Encrypt.bin</t>
  </si>
  <si>
    <t>D:\Data\Document\ProductsLibrary\C线产品资料库\BK2007\固件\release\BK2007_0.11.4.241126_release\US\BK2007_US_0.11.4.241126_E8E1_release_Encrypt.bin</t>
  </si>
  <si>
    <t>BK2007_US_0.11.4.241126_EF36_release_Open.bin</t>
  </si>
  <si>
    <t>D:\Data\Document\ProductsLibrary\C线产品资料库\BK2007\固件\release\BK2007_0.11.4.241126_release\US\BK2007_US_0.11.4.241126_EF36_release_Open.bin</t>
  </si>
  <si>
    <t>BK2007_DE_0.12.3.250429_F15B_release_Open.bin</t>
  </si>
  <si>
    <t>D:\Data\Document\ProductsLibrary\C线产品资料库\BK2007\固件\release\BK2007_0.12.3.250429_release\DE\BK2007_DE_0.12.3.250429_F15B_release_Open.bin</t>
  </si>
  <si>
    <t>BK2007_UK_0.12.3.250429_F174_release_Open.bin</t>
  </si>
  <si>
    <t>D:\Data\Document\ProductsLibrary\C线产品资料库\BK2007\固件\release\BK2007_0.12.3.250429_release\UK\BK2007_UK_0.12.3.250429_F174_release_Open.bin</t>
  </si>
  <si>
    <t>BK2007_US_0.12.3.250429_D477_release_Open.bin</t>
  </si>
  <si>
    <t>D:\Data\Document\ProductsLibrary\C线产品资料库\BK2007\固件\release\BK2007_0.12.3.250429_release\US\BK2007_US_0.12.3.250429_D477_release_Open.bin</t>
  </si>
  <si>
    <t>BK2007_DE_0.12.4.250623_F389_release_Open.bin</t>
  </si>
  <si>
    <t>D:\Data\Document\ProductsLibrary\C线产品资料库\BK2007\固件\release\BK2007_0.12.4.250623_release\DE\BK2007_DE_0.12.4.250623_F389_release_Open.bin</t>
  </si>
  <si>
    <t>BK2007_UK_0.12.4.250623_F3A2_release_Open.bin</t>
  </si>
  <si>
    <t>D:\Data\Document\ProductsLibrary\C线产品资料库\BK2007\固件\release\BK2007_0.12.4.250623_release\UK\BK2007_UK_0.12.4.250623_F3A2_release_Open.bin</t>
  </si>
  <si>
    <t>BK2007_US_0.12.4.250623_F2DE_release_Open.bin</t>
  </si>
  <si>
    <t>D:\Data\Document\ProductsLibrary\C线产品资料库\BK2007\固件\release\BK2007_0.12.4.250623_release\US\BK2007_US_0.12.4.250623_F2DE_release_Open.bin</t>
  </si>
  <si>
    <t>BK2007_DE_ES_IT_0.12.5.250806_FC7D_release_Open.bin</t>
  </si>
  <si>
    <t>D:\Data\Document\ProductsLibrary\C线产品资料库\BK2007\固件\release\BK2007_0.12.5.250806_release\DE_ES_IT\BK2007_DE_ES_IT_0.12.5.250806_FC7D_release_Open.bin</t>
  </si>
  <si>
    <t>BK2007_FR_0.12.5.250806_3D2E_release_Open.bin</t>
  </si>
  <si>
    <t>D:\Data\Document\ProductsLibrary\C线产品资料库\BK2007\固件\release\BK2007_0.12.5.250806_release\FR\BK2007_FR_0.12.5.250806_3D2E_release_Open.bin</t>
  </si>
  <si>
    <t>BK2007_DE_ES_IT_0.12.7.250904_4321_release_Open.bin</t>
  </si>
  <si>
    <t>0.12.7</t>
  </si>
  <si>
    <t>D:\Data\Document\ProductsLibrary\C线产品资料库\BK2007\固件\release\BK2007_0.12.7.250904_release\DE_ES_IT\BK2007_DE_ES_IT_0.12.7.250904_4321_release_Open.bin</t>
  </si>
  <si>
    <t>BK2007_FR_0.12.7.250904_8926_release_Open.bin</t>
  </si>
  <si>
    <t>D:\Data\Document\ProductsLibrary\C线产品资料库\BK2007\固件\release\BK2007_0.12.7.250904_release\FR\BK2007_FR_0.12.7.250904_8926_release_Open.bin</t>
  </si>
  <si>
    <t>BK2007_UK_0.12.7.250904_4240_release_Open.bin</t>
  </si>
  <si>
    <t>D:\Data\Document\ProductsLibrary\C线产品资料库\BK2007\固件\release\BK2007_0.12.7.250904_release\UK\BK2007_UK_0.12.7.250904_4240_release_Open.bin</t>
  </si>
  <si>
    <t>BK2007_US_0.12.7.250904_417C_release_Open.bin</t>
  </si>
  <si>
    <t>417C</t>
  </si>
  <si>
    <t>D:\Data\Document\ProductsLibrary\C线产品资料库\BK2007\固件\release\BK2007_0.12.7.250904_release\US\BK2007_US_0.12.7.250904_417C_release_Open.bin</t>
  </si>
  <si>
    <t>Classic_DE_0.0.14.250318_D7B1_beta_Open.bin</t>
  </si>
  <si>
    <t>0.0.14</t>
  </si>
  <si>
    <t>D7B1</t>
  </si>
  <si>
    <t>D:\Data\Document\ProductsLibrary\C线产品资料库\KB002_black\固件\beta\Classic_0.0.14.250318_beta\DE\Classic_DE_0.0.14.250318_D7B1_beta_Open.bin</t>
  </si>
  <si>
    <t>Classic_UK_0.0.14.250318_D808_beta_Open.bin</t>
  </si>
  <si>
    <t>D808</t>
  </si>
  <si>
    <t>D:\Data\Document\ProductsLibrary\C线产品资料库\KB002_black\固件\beta\Classic_0.0.14.250318_beta\UK\Classic_UK_0.0.14.250318_D808_beta_Open.bin</t>
  </si>
  <si>
    <t>Classic_US_0.0.14.250318_90F6_beta_Open.bin</t>
  </si>
  <si>
    <t>90F6</t>
  </si>
  <si>
    <t>D:\Data\Document\ProductsLibrary\C线产品资料库\KB002_black\固件\beta\Classic_0.0.14.250318_beta\US\Classic_US_0.0.14.250318_90F6_beta_Open.bin</t>
  </si>
  <si>
    <t>KB002_DE_0.0.10.250228_7F63_beta_Open.bin</t>
  </si>
  <si>
    <t>KB002</t>
  </si>
  <si>
    <t>0.0.10</t>
  </si>
  <si>
    <t>7F63</t>
  </si>
  <si>
    <t>D:\Data\Document\ProductsLibrary\C线产品资料库\KB002_black\固件\beta\KB002_0.0.10.250228_beta\DE\KB002_DE_0.0.10.250228_7F63_beta_Open.bin</t>
  </si>
  <si>
    <t>KB002_UK_0.0.10.250228_9714_beta_Open.bin</t>
  </si>
  <si>
    <t>D:\Data\Document\ProductsLibrary\C线产品资料库\KB002_black\固件\beta\KB002_0.0.10.250228_beta\UK\KB002_UK_0.0.10.250228_9714_beta_Open.bin</t>
  </si>
  <si>
    <t>KB002_US_0.0.10.250228_51EA_beta_Open.bin</t>
  </si>
  <si>
    <t>51EA</t>
  </si>
  <si>
    <t>D:\Data\Document\ProductsLibrary\C线产品资料库\KB002_black\固件\beta\KB002_0.0.10.250228_beta\US\KB002_US_0.0.10.250228_51EA_beta_Open.bin</t>
  </si>
  <si>
    <t>KB002_JP_0.0.16.250703_9C32_beta_Open.bin</t>
  </si>
  <si>
    <t>JP</t>
  </si>
  <si>
    <t>0.0.16</t>
  </si>
  <si>
    <t>9C32</t>
  </si>
  <si>
    <t>D:\Data\Document\ProductsLibrary\C线产品资料库\KB002_black\固件\beta\KB002_0.0.16.250703_beta\JP\KB002_JP_0.0.16.250703_9C32_beta_Open.bin</t>
  </si>
  <si>
    <t>KB002_JP_0.0.17.250715_99BD_beta_Open.bin</t>
  </si>
  <si>
    <t>0.0.17</t>
  </si>
  <si>
    <t>99BD</t>
  </si>
  <si>
    <t>D:\Data\Document\ProductsLibrary\C线产品资料库\KB002_black\固件\beta\KB002_0.0.17.250715_beta\JP\KB002_JP_0.0.17.250715_99BD_beta_Open.bin</t>
  </si>
  <si>
    <t>KB002_DE_0.0.5.250108_89D7_beta_Open.bin</t>
  </si>
  <si>
    <t>0.0.5</t>
  </si>
  <si>
    <t>89D7</t>
  </si>
  <si>
    <t>D:\Data\Document\ProductsLibrary\C线产品资料库\KB002_black\固件\beta\KB002_0.0.5.250108_beta\DE\KB002_DE_0.0.5.250108_89D7_beta_Open.bin</t>
  </si>
  <si>
    <t>KB002_UK_0.0.5.250108_97FA_beta_Open.bin</t>
  </si>
  <si>
    <t>97FA</t>
  </si>
  <si>
    <t>D:\Data\Document\ProductsLibrary\C线产品资料库\KB002_black\固件\beta\KB002_0.0.5.250108_beta\UK\KB002_UK_0.0.5.250108_97FA_beta_Open.bin</t>
  </si>
  <si>
    <t>KB002_US_0.0.5.250108_4DCE_beta_Open.bin</t>
  </si>
  <si>
    <t>4DCE</t>
  </si>
  <si>
    <t>D:\Data\Document\ProductsLibrary\C线产品资料库\KB002_black\固件\beta\KB002_0.0.5.250108_beta\US\KB002_US_0.0.5.250108_4DCE_beta_Open.bin</t>
  </si>
  <si>
    <t>KB002_DE_0.0.6.250114_89D7_beta_Open.bin</t>
  </si>
  <si>
    <t>0.0.6</t>
  </si>
  <si>
    <t>D:\Data\Document\ProductsLibrary\C线产品资料库\KB002_black\固件\beta\KB002_0.0.6.250114_beta\DE\KB002_DE_0.0.6.250114_89D7_beta_Open.bin</t>
  </si>
  <si>
    <t>KB002_UK_0.0.6.250114_97F6_beta_Open.bin</t>
  </si>
  <si>
    <t>97F6</t>
  </si>
  <si>
    <t>D:\Data\Document\ProductsLibrary\C线产品资料库\KB002_black\固件\beta\KB002_0.0.6.250114_beta\UK\KB002_UK_0.0.6.250114_97F6_beta_Open.bin</t>
  </si>
  <si>
    <t>KB002_US_0.0.6.250114_4DCE_beta_Open.bin</t>
  </si>
  <si>
    <t>D:\Data\Document\ProductsLibrary\C线产品资料库\KB002_black\固件\beta\KB002_0.0.6.250114_beta\US\KB002_US_0.0.6.250114_4DCE_beta_Open.bin</t>
  </si>
  <si>
    <t>KB002_DE_0.0.9.250207_A92C_beta_Open.bin</t>
  </si>
  <si>
    <t>0.0.9</t>
  </si>
  <si>
    <t>A92C</t>
  </si>
  <si>
    <t>D:\Data\Document\ProductsLibrary\C线产品资料库\KB002_black\固件\beta\KB002_0.0.9.250207_beta\DE\KB002_DE_0.0.9.250207_A92C_beta_Open.bin</t>
  </si>
  <si>
    <t>KB002_UK_0.0.9.250207_B8DD_beta_Open.bin</t>
  </si>
  <si>
    <t>B8DD</t>
  </si>
  <si>
    <t>D:\Data\Document\ProductsLibrary\C线产品资料库\KB002_black\固件\beta\KB002_0.0.9.250207_beta\UK\KB002_UK_0.0.9.250207_B8DD_beta_Open.bin</t>
  </si>
  <si>
    <t>KB002_US_0.0.9.250207_65DE_beta_Open.bin</t>
  </si>
  <si>
    <t>65DE</t>
  </si>
  <si>
    <t>D:\Data\Document\ProductsLibrary\C线产品资料库\KB002_black\固件\beta\KB002_0.0.9.250207_beta\US\KB002_US_0.0.9.250207_65DE_beta_Open.bin</t>
  </si>
  <si>
    <t>N0001_DE_0.0.12.250311_9ECE_beta_Open.bin</t>
  </si>
  <si>
    <t>0.0.12</t>
  </si>
  <si>
    <t>9ECE</t>
  </si>
  <si>
    <t>D:\Data\Document\ProductsLibrary\C线产品资料库\KB002_black\固件\beta\N0001_0.0.12.250311_beta\DE\N0001_DE_0.0.12.250311_9ECE_beta_Open.bin</t>
  </si>
  <si>
    <t>N0001_UK_0.0.12.250311_A302_beta_Open.bin</t>
  </si>
  <si>
    <t>A302</t>
  </si>
  <si>
    <t>D:\Data\Document\ProductsLibrary\C线产品资料库\KB002_black\固件\beta\N0001_0.0.12.250311_beta\UK\N0001_UK_0.0.12.250311_A302_beta_Open.bin</t>
  </si>
  <si>
    <t>N0001_US_0.0.12.250311_43EA_beta_Open.bin</t>
  </si>
  <si>
    <t>43EA</t>
  </si>
  <si>
    <t>D:\Data\Document\ProductsLibrary\C线产品资料库\KB002_black\固件\beta\N0001_0.0.12.250311_beta\US\N0001_US_0.0.12.250311_43EA_beta_Open.bin</t>
  </si>
  <si>
    <t>N0001_DE_0.0.13.250313_D051_beta_Open.bin</t>
  </si>
  <si>
    <t>0.0.13</t>
  </si>
  <si>
    <t>D051</t>
  </si>
  <si>
    <t>D:\Data\Document\ProductsLibrary\C线产品资料库\KB002_black\固件\beta\N0001_0.0.13.250313_beta\DE\N0001_DE_0.0.13.250313_D051_beta_Open.bin</t>
  </si>
  <si>
    <t>N0001_UK_0.0.13.250313_D0A8_beta_Open.bin</t>
  </si>
  <si>
    <t>D0A8</t>
  </si>
  <si>
    <t>D:\Data\Document\ProductsLibrary\C线产品资料库\KB002_black\固件\beta\N0001_0.0.13.250313_beta\UK\N0001_UK_0.0.13.250313_D0A8_beta_Open.bin</t>
  </si>
  <si>
    <t>N0001_US_0.0.13.250313_8996_beta_Open.bin</t>
  </si>
  <si>
    <t>D:\Data\Document\ProductsLibrary\C线产品资料库\KB002_black\固件\beta\N0001_0.0.13.250313_beta\US\N0001_US_0.0.13.250313_8996_beta_Open.bin</t>
  </si>
  <si>
    <t>Classic_DE_0.0.14.250318_D7B1_release_Open.bin</t>
  </si>
  <si>
    <t>D:\Data\Document\ProductsLibrary\C线产品资料库\KB002_black\固件\release\Classic_0.0.14.250318_release\DE\Classic_DE_0.0.14.250318_D7B1_release_Open.bin</t>
  </si>
  <si>
    <t>Classic_UK_0.0.14.250318_D808_release_Open.bin</t>
  </si>
  <si>
    <t>D:\Data\Document\ProductsLibrary\C线产品资料库\KB002_black\固件\release\Classic_0.0.14.250318_release\UK\Classic_UK_0.0.14.250318_D808_release_Open.bin</t>
  </si>
  <si>
    <t>Classic_US_0.0.14.250318_90F6_release_Open.bin</t>
  </si>
  <si>
    <t>D:\Data\Document\ProductsLibrary\C线产品资料库\KB002_black\固件\release\Classic_0.0.14.250318_release\US\Classic_US_0.0.14.250318_90F6_release_Open.bin</t>
  </si>
  <si>
    <t>KB002_JP_0.0.17.250715_99BD_release_Open.bin</t>
  </si>
  <si>
    <t>D:\Data\Document\ProductsLibrary\C线产品资料库\KB002_black\固件\release\KB002_0.0.17.250715_release\JP\KB002_JP_0.0.17.250715_99BD_release_Open.bin</t>
  </si>
  <si>
    <t>KB002_FR_0.2.2.251022_1066_release_Open.bin</t>
  </si>
  <si>
    <t>0.2.2</t>
  </si>
  <si>
    <t>D:\Data\Document\ProductsLibrary\C线产品资料库\KB002_black\固件\release\KB002_0.2.2.251022_release\FR\KB002_FR_0.2.2.251022_1066_release_Open.bin</t>
  </si>
  <si>
    <t>KB01103_DE_0.0.11.250109_3013_beta_Open.bin</t>
  </si>
  <si>
    <t>KB01103</t>
  </si>
  <si>
    <t>0.0.11</t>
  </si>
  <si>
    <t>D:\Data\Document\ProductsLibrary\C线产品资料库\KB01103\固件\beta\KB01103_0.0.11.250109_beta\DE\KB01103_DE_0.0.11.250109_3013_beta_Open.bin</t>
  </si>
  <si>
    <t>KB01103_UK_0.0.11.250109_3BBA_beta_Open.bin</t>
  </si>
  <si>
    <t>3BBA</t>
  </si>
  <si>
    <t>D:\Data\Document\ProductsLibrary\C线产品资料库\KB01103\固件\beta\KB01103_0.0.11.250109_beta\UK\KB01103_UK_0.0.11.250109_3BBA_beta_Open.bin</t>
  </si>
  <si>
    <t>KB01103_US_0.0.11.250109_D431_beta_Open.bin</t>
  </si>
  <si>
    <t>D431</t>
  </si>
  <si>
    <t>D:\Data\Document\ProductsLibrary\C线产品资料库\KB01103\固件\beta\KB01103_0.0.11.250109_beta\US\KB01103_US_0.0.11.250109_D431_beta_Open.bin</t>
  </si>
  <si>
    <t>KB01103_DE_0.0.7.241225_EC69_beta_Open.bin</t>
  </si>
  <si>
    <t>0.0.7</t>
  </si>
  <si>
    <t>EC69</t>
  </si>
  <si>
    <t>D:\Data\Document\ProductsLibrary\C线产品资料库\KB01103\固件\beta\KB01103_0.0.7.241225_beta\DE\KB01103_DE_0.0.7.241225_EC69_beta_Open.bin</t>
  </si>
  <si>
    <t>KB01103_UK_0.0.7.241225_E817_beta_Open.bin</t>
  </si>
  <si>
    <t>E817</t>
  </si>
  <si>
    <t>D:\Data\Document\ProductsLibrary\C线产品资料库\KB01103\固件\beta\KB01103_0.0.7.241225_beta\UK\KB01103_UK_0.0.7.241225_E817_beta_Open.bin</t>
  </si>
  <si>
    <t>KB01103_US_0.0.7.241225_88A0_beta_Open.bin</t>
  </si>
  <si>
    <t>88A0</t>
  </si>
  <si>
    <t>D:\Data\Document\ProductsLibrary\C线产品资料库\KB01103\固件\beta\KB01103_0.0.7.241225_beta\US\KB01103_US_0.0.7.241225_88A0_beta_Open.bin</t>
  </si>
  <si>
    <t>KB01103_DE_0.0.9.241227_CB09_beta_Open.bin</t>
  </si>
  <si>
    <t>CB09</t>
  </si>
  <si>
    <t>D:\Data\Document\ProductsLibrary\C线产品资料库\KB01103\固件\beta\KB01103_0.0.9.241227_beta\DE\KB01103_DE_0.0.9.241227_CB09_beta_Open.bin</t>
  </si>
  <si>
    <t>KB01103_UK_0.0.9.241227_D133_beta_Open.bin</t>
  </si>
  <si>
    <t>D133</t>
  </si>
  <si>
    <t>D:\Data\Document\ProductsLibrary\C线产品资料库\KB01103\固件\beta\KB01103_0.0.9.241227_beta\UK\KB01103_UK_0.0.9.241227_D133_beta_Open.bin</t>
  </si>
  <si>
    <t>KB01103_US_0.0.9.241227_8FBB_beta_Open.bin</t>
  </si>
  <si>
    <t>8FBB</t>
  </si>
  <si>
    <t>D:\Data\Document\ProductsLibrary\C线产品资料库\KB01103\固件\beta\KB01103_0.0.9.241227_beta\US\KB01103_US_0.0.9.241227_8FBB_beta_Open.bin</t>
  </si>
  <si>
    <t>KB01103_DE_0.0.11.250109_3013_release_Open.bin</t>
  </si>
  <si>
    <t>D:\Data\Document\ProductsLibrary\C线产品资料库\KB01103\固件\release\KB01103_0.0.11.250109_release\DE\KB01103_DE_0.0.11.250109_3013_release_Open.bin</t>
  </si>
  <si>
    <t>KB01103_UK_0.0.11.250109_3BBA_release_Open.bin</t>
  </si>
  <si>
    <t>D:\Data\Document\ProductsLibrary\C线产品资料库\KB01103\固件\release\KB01103_0.0.11.250109_release\UK\KB01103_UK_0.0.11.250109_3BBA_release_Open.bin</t>
  </si>
  <si>
    <t>KB01103_US_0.0.11.250109_D431_release_Open.bin</t>
  </si>
  <si>
    <t>D:\Data\Document\ProductsLibrary\C线产品资料库\KB01103\固件\release\KB01103_0.0.11.250109_release\US\KB01103_US_0.0.11.250109_D431_release_Open.bin</t>
  </si>
  <si>
    <t>KB01104_DE_2.2.2.241105_beta.bin</t>
  </si>
  <si>
    <t>KB01104</t>
  </si>
  <si>
    <t>2.2.2</t>
  </si>
  <si>
    <t>D:\Data\Document\ProductsLibrary\C线产品资料库\KB01104\固件\beta\新PCBA\KB01104_2.2.2.241105_beta\DE\KB01104_DE_2.2.2.241105_beta.bin</t>
  </si>
  <si>
    <t>KB01104_UK_2.2.2.241105_beta.bin</t>
  </si>
  <si>
    <t>D:\Data\Document\ProductsLibrary\C线产品资料库\KB01104\固件\beta\新PCBA\KB01104_2.2.2.241105_beta\UK\KB01104_UK_2.2.2.241105_beta.bin</t>
  </si>
  <si>
    <t>KB01104_US_2.2.2.241105_beta.bin</t>
  </si>
  <si>
    <t>D:\Data\Document\ProductsLibrary\C线产品资料库\KB01104\固件\beta\新PCBA\KB01104_2.2.2.241105_beta\US\KB01104_US_2.2.2.241105_beta.bin</t>
  </si>
  <si>
    <t>KB01104_DE_2.2.3.241112_beta.bin</t>
  </si>
  <si>
    <t>2.2.3</t>
  </si>
  <si>
    <t>D:\Data\Document\ProductsLibrary\C线产品资料库\KB01104\固件\beta\新PCBA\KB01104_2.2.3.241112_beta\DE\KB01104_DE_2.2.3.241112_beta.bin</t>
  </si>
  <si>
    <t>KB01104_DE_2.2.3.241112_beta_Encrypt.bin</t>
  </si>
  <si>
    <t>D:\Data\Document\ProductsLibrary\C线产品资料库\KB01104\固件\beta\新PCBA\KB01104_2.2.3.241112_beta\DE\KB01104_DE_2.2.3.241112_beta_Encrypt.bin</t>
  </si>
  <si>
    <t>KB01104_UK_2.2.3.241112_beta.bin</t>
  </si>
  <si>
    <t>D:\Data\Document\ProductsLibrary\C线产品资料库\KB01104\固件\beta\新PCBA\KB01104_2.2.3.241112_beta\UK\KB01104_UK_2.2.3.241112_beta.bin</t>
  </si>
  <si>
    <t>KB01104_UK_2.2.3.241112_beta_Encrypt.bin</t>
  </si>
  <si>
    <t>D:\Data\Document\ProductsLibrary\C线产品资料库\KB01104\固件\beta\新PCBA\KB01104_2.2.3.241112_beta\UK\KB01104_UK_2.2.3.241112_beta_Encrypt.bin</t>
  </si>
  <si>
    <t>KB01104_US_2.2.3.241112_beta.bin</t>
  </si>
  <si>
    <t>D:\Data\Document\ProductsLibrary\C线产品资料库\KB01104\固件\beta\新PCBA\KB01104_2.2.3.241112_beta\US\KB01104_US_2.2.3.241112_beta.bin</t>
  </si>
  <si>
    <t>KB01104_US_2.2.3.241112_beta_Encrypt.bin</t>
  </si>
  <si>
    <t>D:\Data\Document\ProductsLibrary\C线产品资料库\KB01104\固件\beta\新PCBA\KB01104_2.2.3.241112_beta\US\KB01104_US_2.2.3.241112_beta_Encrypt.bin</t>
  </si>
  <si>
    <t>KB01104_DE_2.2.4.241118_beta.bin</t>
  </si>
  <si>
    <t>2.2.4</t>
  </si>
  <si>
    <t>D:\Data\Document\ProductsLibrary\C线产品资料库\KB01104\固件\beta\新PCBA\KB01104_2.2.4.241118_beta\DE\KB01104_DE_2.2.4.241118_beta.bin</t>
  </si>
  <si>
    <t>KB01104_DE_2.2.4.241118_beta_Encrypt.bin</t>
  </si>
  <si>
    <t>D:\Data\Document\ProductsLibrary\C线产品资料库\KB01104\固件\beta\新PCBA\KB01104_2.2.4.241118_beta\DE\KB01104_DE_2.2.4.241118_beta_Encrypt.bin</t>
  </si>
  <si>
    <t>KB01104_UK_2.2.4.241118_beta.bin</t>
  </si>
  <si>
    <t>D:\Data\Document\ProductsLibrary\C线产品资料库\KB01104\固件\beta\新PCBA\KB01104_2.2.4.241118_beta\UK\KB01104_UK_2.2.4.241118_beta.bin</t>
  </si>
  <si>
    <t>KB01104_UK_2.2.4.241118_beta_Encrypt.bin</t>
  </si>
  <si>
    <t>D:\Data\Document\ProductsLibrary\C线产品资料库\KB01104\固件\beta\新PCBA\KB01104_2.2.4.241118_beta\UK\KB01104_UK_2.2.4.241118_beta_Encrypt.bin</t>
  </si>
  <si>
    <t>KB01104_US_2.2.4.241118_beta.bin</t>
  </si>
  <si>
    <t>D:\Data\Document\ProductsLibrary\C线产品资料库\KB01104\固件\beta\新PCBA\KB01104_2.2.4.241118_beta\US\KB01104_US_2.2.4.241118_beta.bin</t>
  </si>
  <si>
    <t>KB01104_US_2.2.4.241118_beta_Encrypt.bin</t>
  </si>
  <si>
    <t>D:\Data\Document\ProductsLibrary\C线产品资料库\KB01104\固件\beta\新PCBA\KB01104_2.2.4.241118_beta\US\KB01104_US_2.2.4.241118_beta_Encrypt.bin</t>
  </si>
  <si>
    <t>KB01104_DE_2.2.5.241210_C66D_beta_Open.bin</t>
  </si>
  <si>
    <t>2.2.5</t>
  </si>
  <si>
    <t>C66D</t>
  </si>
  <si>
    <t>D:\Data\Document\ProductsLibrary\C线产品资料库\KB01104\固件\beta\新PCBA\KB01104_2.2.5.241210_beta\DE\KB01104_DE_2.2.5.241210_C66D_beta_Open.bin</t>
  </si>
  <si>
    <t>KB01104_UK_2.2.5.241210_C686_beta_Open.bin</t>
  </si>
  <si>
    <t>C686</t>
  </si>
  <si>
    <t>D:\Data\Document\ProductsLibrary\C线产品资料库\KB01104\固件\beta\新PCBA\KB01104_2.2.5.241210_beta\UK\KB01104_UK_2.2.5.241210_C686_beta_Open.bin</t>
  </si>
  <si>
    <t>KB01104_US_2.2.5.241210_C5C8_beta_Open.bin</t>
  </si>
  <si>
    <t>C5C8</t>
  </si>
  <si>
    <t>D:\Data\Document\ProductsLibrary\C线产品资料库\KB01104\固件\beta\新PCBA\KB01104_2.2.5.241210_beta\US\KB01104_US_2.2.5.241210_C5C8_beta_Open.bin</t>
  </si>
  <si>
    <t>KB01104_DE_2.2.6.241213_EA61_beta_Open.bin</t>
  </si>
  <si>
    <t>2.2.6</t>
  </si>
  <si>
    <t>EA61</t>
  </si>
  <si>
    <t>D:\Data\Document\ProductsLibrary\C线产品资料库\KB01104\固件\beta\新PCBA\KB01104_2.2.6.241213_beta\DE\KB01104_DE_2.2.6.241213_EA61_beta_Open.bin</t>
  </si>
  <si>
    <t>KB01104_UK_2.2.6.241213_EA7A_beta_Open.bin</t>
  </si>
  <si>
    <t>EA7A</t>
  </si>
  <si>
    <t>D:\Data\Document\ProductsLibrary\C线产品资料库\KB01104\固件\beta\新PCBA\KB01104_2.2.6.241213_beta\UK\KB01104_UK_2.2.6.241213_EA7A_beta_Open.bin</t>
  </si>
  <si>
    <t>KB01104_US_2.2.6.241213_E9BC_beta_Open.bin</t>
  </si>
  <si>
    <t>E9BC</t>
  </si>
  <si>
    <t>D:\Data\Document\ProductsLibrary\C线产品资料库\KB01104\固件\beta\新PCBA\KB01104_2.2.6.241213_beta\US\KB01104_US_2.2.6.241213_E9BC_beta_Open.bin</t>
  </si>
  <si>
    <t>KB01104_DE_2.2.1.241105_beta.bin</t>
  </si>
  <si>
    <t>2.2.1</t>
  </si>
  <si>
    <t>D:\Data\Document\ProductsLibrary\C线产品资料库\KB01104\固件\beta\旧PCBA\KB01104_2.2.1.241105_beta\DE\KB01104_DE_2.2.1.241105_beta.bin</t>
  </si>
  <si>
    <t>KB01104_DE_2.2.6.241213_EA61_release_Open.bin</t>
  </si>
  <si>
    <t>D:\Data\Document\ProductsLibrary\C线产品资料库\KB01104\固件\release\新PCBA\KB01104_2.2.6.241213_release\DE\KB01104_DE_2.2.6.241213_EA61_release_Open.bin</t>
  </si>
  <si>
    <t>KB01104_UK_2.2.6.241213_EA7A_release_Open.bin</t>
  </si>
  <si>
    <t>D:\Data\Document\ProductsLibrary\C线产品资料库\KB01104\固件\release\新PCBA\KB01104_2.2.6.241213_release\UK\KB01104_UK_2.2.6.241213_EA7A_release_Open.bin</t>
  </si>
  <si>
    <t>KB01104_US_2.2.6.241213_E9BC_release_Open.bin</t>
  </si>
  <si>
    <t>D:\Data\Document\ProductsLibrary\C线产品资料库\KB01104\固件\release\新PCBA\KB01104_2.2.6.241213_release\US\KB01104_US_2.2.6.241213_E9BC_release_Open.bin</t>
  </si>
  <si>
    <t>KB01105_FR_0.0.10.250528_91D1_beta_Open.bin</t>
  </si>
  <si>
    <t>KB01105</t>
  </si>
  <si>
    <t>91D1</t>
  </si>
  <si>
    <t>D:\Data\Document\ProductsLibrary\C线产品资料库\KB01105\固件\beta\KB01105_0.0.10.250528_beta\FR\KB01105_FR_0.0.10.250528_91D1_beta_Open.bin</t>
  </si>
  <si>
    <t>KB01105_IT_0.0.10.250528_8AEC_beta_Open.bin</t>
  </si>
  <si>
    <t>8AEC</t>
  </si>
  <si>
    <t>D:\Data\Document\ProductsLibrary\C线产品资料库\KB01105\固件\beta\KB01105_0.0.10.250528_beta\IT\KB01105_IT_0.0.10.250528_8AEC_beta_Open.bin</t>
  </si>
  <si>
    <t>KB01105_DE_0.0.4.240924_beta.bin</t>
  </si>
  <si>
    <t>0.0.4</t>
  </si>
  <si>
    <t>D:\Data\Document\ProductsLibrary\C线产品资料库\KB01105\固件\beta\KB01105_0.0.4.240924_beta\DE\KB01105_DE_0.0.4.240924_beta.bin</t>
  </si>
  <si>
    <t>KB01105_UK_0.0.4.240924_beta.bin</t>
  </si>
  <si>
    <t>D:\Data\Document\ProductsLibrary\C线产品资料库\KB01105\固件\beta\KB01105_0.0.4.240924_beta\UK\KB01105_UK_0.0.4.240924_beta.bin</t>
  </si>
  <si>
    <t>KB01105_US_0.0.4.240924_beta.bin</t>
  </si>
  <si>
    <t>D:\Data\Document\ProductsLibrary\C线产品资料库\KB01105\固件\beta\KB01105_0.0.4.240924_beta\US\KB01105_US_0.0.4.240924_beta.bin</t>
  </si>
  <si>
    <t>KB01105_DE_0.0.5.240927_beta.bin</t>
  </si>
  <si>
    <t>D:\Data\Document\ProductsLibrary\C线产品资料库\KB01105\固件\beta\KB01105_0.0.5.240927_beta\DE\KB01105_DE_0.0.5.240927_beta.bin</t>
  </si>
  <si>
    <t>KB01105_UK_0.0.5.240927_beta.bin</t>
  </si>
  <si>
    <t>D:\Data\Document\ProductsLibrary\C线产品资料库\KB01105\固件\beta\KB01105_0.0.5.240927_beta\UK\KB01105_UK_0.0.5.240927_beta.bin</t>
  </si>
  <si>
    <t>KB01105_US_0.0.5.240927_beta.bin</t>
  </si>
  <si>
    <t>D:\Data\Document\ProductsLibrary\C线产品资料库\KB01105\固件\beta\KB01105_0.0.5.240927_beta\US\KB01105_US_0.0.5.240927_beta.bin</t>
  </si>
  <si>
    <t>KB01105_DE_0.0.7.241128_ABB5_beta_Open.bin</t>
  </si>
  <si>
    <t>ABB5</t>
  </si>
  <si>
    <t>D:\Data\Document\ProductsLibrary\C线产品资料库\KB01105\固件\beta\KB01105_0.0.7.241128_beta\DE\KB01105_DE_0.0.7.241128_ABB5_beta_Open.bin</t>
  </si>
  <si>
    <t>KB01105_UK_0.0.7.241128_A228_beta_Open.bin</t>
  </si>
  <si>
    <t>A228</t>
  </si>
  <si>
    <t>D:\Data\Document\ProductsLibrary\C线产品资料库\KB01105\固件\beta\KB01105_0.0.7.241128_beta\UK\KB01105_UK_0.0.7.241128_A228_beta_Open.bin</t>
  </si>
  <si>
    <t>KB01105_US_0.0.7.241128_8CAC_beta_Open.bin</t>
  </si>
  <si>
    <t>8CAC</t>
  </si>
  <si>
    <t>D:\Data\Document\ProductsLibrary\C线产品资料库\KB01105\固件\beta\KB01105_0.0.7.241128_beta\US\KB01105_US_0.0.7.241128_8CAC_beta_Open.bin</t>
  </si>
  <si>
    <t>KB01105_DE_0.0.8.241129_A417_beta_Open.bin</t>
  </si>
  <si>
    <t>0.0.8</t>
  </si>
  <si>
    <t>A417</t>
  </si>
  <si>
    <t>D:\Data\Document\ProductsLibrary\C线产品资料库\KB01105\固件\beta\KB01105_0.0.8.241129_beta\DE\KB01105_DE_0.0.8.241129_A417_beta_Open.bin</t>
  </si>
  <si>
    <t>KB01105_UK_0.0.8.241129_A580_beta_Open.bin</t>
  </si>
  <si>
    <t>A580</t>
  </si>
  <si>
    <t>D:\Data\Document\ProductsLibrary\C线产品资料库\KB01105\固件\beta\KB01105_0.0.8.241129_beta\UK\KB01105_UK_0.0.8.241129_A580_beta_Open.bin</t>
  </si>
  <si>
    <t>KB01105_US_0.0.8.241129_87AB_beta_Open.bin</t>
  </si>
  <si>
    <t>87AB</t>
  </si>
  <si>
    <t>D:\Data\Document\ProductsLibrary\C线产品资料库\KB01105\固件\beta\KB01105_0.0.8.241129_beta\US\KB01105_US_0.0.8.241129_87AB_beta_Open.bin</t>
  </si>
  <si>
    <t>KB01105_DE_0.0.9.250115_FC82_beta_Open.bin</t>
  </si>
  <si>
    <t>FC82</t>
  </si>
  <si>
    <t>D:\Data\Document\ProductsLibrary\C线产品资料库\KB01105\固件\beta\KB01105_0.0.9.250115_beta\DE\KB01105_DE_0.0.9.250115_FC82_beta_Open.bin</t>
  </si>
  <si>
    <t>KB01105_UK_0.0.9.250115_F069_beta_Open.bin</t>
  </si>
  <si>
    <t>F069</t>
  </si>
  <si>
    <t>D:\Data\Document\ProductsLibrary\C线产品资料库\KB01105\固件\beta\KB01105_0.0.9.250115_beta\UK\KB01105_UK_0.0.9.250115_F069_beta_Open.bin</t>
  </si>
  <si>
    <t>KB01105_US_0.0.9.250115_BE47_beta_Open.bin</t>
  </si>
  <si>
    <t>BE47</t>
  </si>
  <si>
    <t>D:\Data\Document\ProductsLibrary\C线产品资料库\KB01105\固件\beta\KB01105_0.0.9.250115_beta\US\KB01105_US_0.0.9.250115_BE47_beta_Open.bin</t>
  </si>
  <si>
    <t>KB01105_FR_0.0.10.250528_91D1_release_Open.bin</t>
  </si>
  <si>
    <t>D:\Data\Document\ProductsLibrary\C线产品资料库\KB01105\固件\release\KB01105_0.0.10.250528_release\FR\KB01105_FR_0.0.10.250528_91D1_release_Open.bin</t>
  </si>
  <si>
    <t>KB01105_IT_0.0.10.250528_8AEC_release_Open.bin</t>
  </si>
  <si>
    <t>D:\Data\Document\ProductsLibrary\C线产品资料库\KB01105\固件\release\KB01105_0.0.10.250528_release\IT\KB01105_IT_0.0.10.250528_8AEC_release_Open.bin</t>
  </si>
  <si>
    <t>KB01105_DE_0.0.8.241129_A417_release_Open.bin</t>
  </si>
  <si>
    <t>D:\Data\Document\ProductsLibrary\C线产品资料库\KB01105\固件\release\KB01105_0.0.8.241129_release\DE\KB01105_DE_0.0.8.241129_A417_release_Open.bin</t>
  </si>
  <si>
    <t>KB01105_UK_0.0.8.241129_A580_release_Open.bin</t>
  </si>
  <si>
    <t>D:\Data\Document\ProductsLibrary\C线产品资料库\KB01105\固件\release\KB01105_0.0.8.241129_release\UK\KB01105_UK_0.0.8.241129_A580_release_Open.bin</t>
  </si>
  <si>
    <t>KB01105_US_0.0.8.241129_87AB_release_Open.bin</t>
  </si>
  <si>
    <t>D:\Data\Document\ProductsLibrary\C线产品资料库\KB01105\固件\release\KB01105_0.0.8.241129_release\US\KB01105_US_0.0.8.241129_87AB_release_Open.bin</t>
  </si>
  <si>
    <t>KB01105_DE_0.0.9.250115_FC82_release_Open.bin</t>
  </si>
  <si>
    <t>D:\Data\Document\ProductsLibrary\C线产品资料库\KB01105\固件\release\KB01105_0.0.9.250115_release\DE\KB01105_DE_0.0.9.250115_FC82_release_Open.bin</t>
  </si>
  <si>
    <t>KB01105_UK_0.0.9.250115_F069_release_Open.bin</t>
  </si>
  <si>
    <t>D:\Data\Document\ProductsLibrary\C线产品资料库\KB01105\固件\release\KB01105_0.0.9.250115_release\UK\KB01105_UK_0.0.9.250115_F069_release_Open.bin</t>
  </si>
  <si>
    <t>KB01105_US_0.0.9.250115_BE47_release_Open.bin</t>
  </si>
  <si>
    <t>D:\Data\Document\ProductsLibrary\C线产品资料库\KB01105\固件\release\KB01105_0.0.9.250115_release\US\KB01105_US_0.0.9.250115_BE47_release_Open.bin</t>
  </si>
  <si>
    <t>KB02027_DE_2.3.3.250417_CA53_beta_Open.bin</t>
  </si>
  <si>
    <t>KB02027</t>
  </si>
  <si>
    <t>2.3.3</t>
  </si>
  <si>
    <t>CA53</t>
  </si>
  <si>
    <t>D:\Data\Document\ProductsLibrary\C线产品资料库\KB02027\固件\KB02027_2.3.3.250417_beta\DE\KB02027_DE_2.3.3.250417_CA53_beta_Open.bin</t>
  </si>
  <si>
    <t>KB02027_DE_2.3.3.250417_DA85_beta_Encrypt.bin</t>
  </si>
  <si>
    <t>DA85</t>
  </si>
  <si>
    <t>D:\Data\Document\ProductsLibrary\C线产品资料库\KB02027\固件\KB02027_2.3.3.250417_beta\DE\KB02027_DE_2.3.3.250417_DA85_beta_Encrypt.bin</t>
  </si>
  <si>
    <t>KB02027_UK_2.3.3.250417_CA6C_beta_Open.bin</t>
  </si>
  <si>
    <t>CA6C</t>
  </si>
  <si>
    <t>D:\Data\Document\ProductsLibrary\C线产品资料库\KB02027\固件\KB02027_2.3.3.250417_beta\UK\KB02027_UK_2.3.3.250417_CA6C_beta_Open.bin</t>
  </si>
  <si>
    <t>KB02027_UK_2.3.3.250417_DA9E_beta_Encrypt.bin</t>
  </si>
  <si>
    <t>DA9E</t>
  </si>
  <si>
    <t>D:\Data\Document\ProductsLibrary\C线产品资料库\KB02027\固件\KB02027_2.3.3.250417_beta\UK\KB02027_UK_2.3.3.250417_DA9E_beta_Encrypt.bin</t>
  </si>
  <si>
    <t>KB02027_US_2.3.3.250417_CA0C_beta_Open.bin</t>
  </si>
  <si>
    <t>CA0C</t>
  </si>
  <si>
    <t>D:\Data\Document\ProductsLibrary\C线产品资料库\KB02027\固件\KB02027_2.3.3.250417_beta\US\KB02027_US_2.3.3.250417_CA0C_beta_Open.bin</t>
  </si>
  <si>
    <t>KB02027_US_2.3.3.250417_DA3E_beta_Encrypt.bin</t>
  </si>
  <si>
    <t>DA3E</t>
  </si>
  <si>
    <t>D:\Data\Document\ProductsLibrary\C线产品资料库\KB02027\固件\KB02027_2.3.3.250417_beta\US\KB02027_US_2.3.3.250417_DA3E_beta_Encrypt.bin</t>
  </si>
  <si>
    <t>KB02027_DE_2.3.4.250430_15DF_beta_Open.bin</t>
  </si>
  <si>
    <t>2.3.4</t>
  </si>
  <si>
    <t>15DF</t>
  </si>
  <si>
    <t>D:\Data\Document\ProductsLibrary\C线产品资料库\KB02027\固件\KB02027_2.3.4.250428_beta\DE\KB02027_DE_2.3.4.250430_15DF_beta_Open.bin</t>
  </si>
  <si>
    <t>KB02027_DE_2.3.4.250430_250F_beta_Encrypt.bin</t>
  </si>
  <si>
    <t>250F</t>
  </si>
  <si>
    <t>D:\Data\Document\ProductsLibrary\C线产品资料库\KB02027\固件\KB02027_2.3.4.250428_beta\DE\KB02027_DE_2.3.4.250430_250F_beta_Encrypt.bin</t>
  </si>
  <si>
    <t>KB02027_UK_2.3.4.250430_15F8_beta_Open.bin</t>
  </si>
  <si>
    <t>15F8</t>
  </si>
  <si>
    <t>D:\Data\Document\ProductsLibrary\C线产品资料库\KB02027\固件\KB02027_2.3.4.250428_beta\UK\KB02027_UK_2.3.4.250430_15F8_beta_Open.bin</t>
  </si>
  <si>
    <t>KB02027_UK_2.3.4.250430_2528_beta_Encrypt.bin</t>
  </si>
  <si>
    <t>D:\Data\Document\ProductsLibrary\C线产品资料库\KB02027\固件\KB02027_2.3.4.250428_beta\UK\KB02027_UK_2.3.4.250430_2528_beta_Encrypt.bin</t>
  </si>
  <si>
    <t>KB02027_US_2.3.4.250430_1598_beta_Open.bin</t>
  </si>
  <si>
    <t>D:\Data\Document\ProductsLibrary\C线产品资料库\KB02027\固件\KB02027_2.3.4.250428_beta\US\KB02027_US_2.3.4.250430_1598_beta_Open.bin</t>
  </si>
  <si>
    <t>KB02027_US_2.3.4.250430_24C8_beta_Encrypt.bin</t>
  </si>
  <si>
    <t>24C8</t>
  </si>
  <si>
    <t>D:\Data\Document\ProductsLibrary\C线产品资料库\KB02027\固件\KB02027_2.3.4.250428_beta\US\KB02027_US_2.3.4.250430_24C8_beta_Encrypt.bin</t>
  </si>
  <si>
    <t>KB02027_DE_2.3.6.250506_BD4_beta_Encrypt.bin</t>
  </si>
  <si>
    <t>2.3.6</t>
  </si>
  <si>
    <t>BD4</t>
  </si>
  <si>
    <t>D:\Data\Document\ProductsLibrary\C线产品资料库\KB02027\固件\KB02027_2.3.6.250506_beta\DE\KB02027_DE_2.3.6.250506_BD4_beta_Encrypt.bin</t>
  </si>
  <si>
    <t>KB02027_DE_2.3.6.250506_CEA_beta_Open.bin</t>
  </si>
  <si>
    <t>CEA</t>
  </si>
  <si>
    <t>D:\Data\Document\ProductsLibrary\C线产品资料库\KB02027\固件\KB02027_2.3.6.250506_beta\DE\KB02027_DE_2.3.6.250506_CEA_beta_Open.bin</t>
  </si>
  <si>
    <t>KB02027_UK_2.3.6.250506_BED_beta_Encrypt.bin</t>
  </si>
  <si>
    <t>BED</t>
  </si>
  <si>
    <t>D:\Data\Document\ProductsLibrary\C线产品资料库\KB02027\固件\KB02027_2.3.6.250506_beta\UK\KB02027_UK_2.3.6.250506_BED_beta_Encrypt.bin</t>
  </si>
  <si>
    <t>KB02027_UK_2.3.6.250506_D03_beta_Open.bin</t>
  </si>
  <si>
    <t>D03</t>
  </si>
  <si>
    <t>D:\Data\Document\ProductsLibrary\C线产品资料库\KB02027\固件\KB02027_2.3.6.250506_beta\UK\KB02027_UK_2.3.6.250506_D03_beta_Open.bin</t>
  </si>
  <si>
    <t>KB02027_US_2.3.6.250506_B8D_beta_Encrypt.bin</t>
  </si>
  <si>
    <t>B8D</t>
  </si>
  <si>
    <t>D:\Data\Document\ProductsLibrary\C线产品资料库\KB02027\固件\KB02027_2.3.6.250506_beta\US\KB02027_US_2.3.6.250506_B8D_beta_Encrypt.bin</t>
  </si>
  <si>
    <t>KB02027_US_2.3.6.250506_CA3_beta_Open.bin</t>
  </si>
  <si>
    <t>CA3</t>
  </si>
  <si>
    <t>D:\Data\Document\ProductsLibrary\C线产品资料库\KB02027\固件\KB02027_2.3.6.250506_beta\US\KB02027_US_2.3.6.250506_CA3_beta_Open.bin</t>
  </si>
  <si>
    <t>KB02027_DE_2.2.2.240717_release.bin</t>
  </si>
  <si>
    <t>D:\Data\Document\ProductsLibrary\C线产品资料库\KB02027\固件释放\KB02027_DE_2.2.2.240717_release.bin</t>
  </si>
  <si>
    <t>KB02027_UK_2.2.2.240717_release.bin</t>
  </si>
  <si>
    <t>D:\Data\Document\ProductsLibrary\C线产品资料库\KB02027\固件释放\KB02027_UK_2.2.2.240717_release.bin</t>
  </si>
  <si>
    <t>KB02027_US_2.2.2.240717_release.bin</t>
  </si>
  <si>
    <t>D:\Data\Document\ProductsLibrary\C线产品资料库\KB02027\固件释放\KB02027_US_2.2.2.240717_release.bin</t>
  </si>
  <si>
    <t>KB02027_DE_2.3.6.250506_BD4_release_Encrypt.bin</t>
  </si>
  <si>
    <t>D:\Data\Document\ProductsLibrary\C线产品资料库\KB02027\固件释放\KB02027_2.3.6.250506_release\DE\KB02027_DE_2.3.6.250506_BD4_release_Encrypt.bin</t>
  </si>
  <si>
    <t>KB02027_DE_2.3.6.250506_CEA_release_Open.bin</t>
  </si>
  <si>
    <t>D:\Data\Document\ProductsLibrary\C线产品资料库\KB02027\固件释放\KB02027_2.3.6.250506_release\DE\KB02027_DE_2.3.6.250506_CEA_release_Open.bin</t>
  </si>
  <si>
    <t>KB02027_UK_2.3.6.250506_BED_release_Encrypt.bin</t>
  </si>
  <si>
    <t>D:\Data\Document\ProductsLibrary\C线产品资料库\KB02027\固件释放\KB02027_2.3.6.250506_release\UK\KB02027_UK_2.3.6.250506_BED_release_Encrypt.bin</t>
  </si>
  <si>
    <t>KB02027_UK_2.3.6.250506_D03_release_Open.bin</t>
  </si>
  <si>
    <t>D:\Data\Document\ProductsLibrary\C线产品资料库\KB02027\固件释放\KB02027_2.3.6.250506_release\UK\KB02027_UK_2.3.6.250506_D03_release_Open.bin</t>
  </si>
  <si>
    <t>KB02027_US_2.3.6.250506_B8D_release_Encrypt.bin</t>
  </si>
  <si>
    <t>D:\Data\Document\ProductsLibrary\C线产品资料库\KB02027\固件释放\KB02027_2.3.6.250506_release\US\KB02027_US_2.3.6.250506_B8D_release_Encrypt.bin</t>
  </si>
  <si>
    <t>KB02027_US_2.3.6.250506_CA3_release_Open.bin</t>
  </si>
  <si>
    <t>D:\Data\Document\ProductsLibrary\C线产品资料库\KB02027\固件释放\KB02027_2.3.6.250506_release\US\KB02027_US_2.3.6.250506_CA3_release_Open.bin</t>
  </si>
  <si>
    <t>D:\Data\Document\ProductsLibrary\C线产品资料库\KB02027_black\固件释放\KB02027_DE_2.2.2.240717_release.bin</t>
  </si>
  <si>
    <t>D:\Data\Document\ProductsLibrary\C线产品资料库\KB02027_black\固件释放\KB02027_UK_2.2.2.240717_release.bin</t>
  </si>
  <si>
    <t>KB02028_DE_0.2.9.240911_beta.bin</t>
  </si>
  <si>
    <t>KB02028</t>
  </si>
  <si>
    <t>0.2.9</t>
  </si>
  <si>
    <t>D:\Data\Document\ProductsLibrary\C线产品资料库\KB02028\beta\DE\KB02028_DE_0.2.9.240911_beta.bin</t>
  </si>
  <si>
    <t>KB02028_UK_0.2.9.240911_beta.bin</t>
  </si>
  <si>
    <t>D:\Data\Document\ProductsLibrary\C线产品资料库\KB02028\beta\UK\KB02028_UK_0.2.9.240911_beta.bin</t>
  </si>
  <si>
    <t>KB02028_US_0.2.9.240911_beta.bin</t>
  </si>
  <si>
    <t>D:\Data\Document\ProductsLibrary\C线产品资料库\KB02028\beta\US\KB02028_US_0.2.9.240911_beta.bin</t>
  </si>
  <si>
    <t>KB02028_DE_0.3.4.250416_E9F9_beta_Open.bin</t>
  </si>
  <si>
    <t>0.3.4</t>
  </si>
  <si>
    <t>E9F9</t>
  </si>
  <si>
    <t>D:\Data\Document\ProductsLibrary\C线产品资料库\KB02028\固件\KB02028_0.3.4.250416_beta\DE\KB02028_DE_0.3.4.250416_E9F9_beta_Open.bin</t>
  </si>
  <si>
    <t>KB02028_UK_0.3.4.250416_F732_beta_Open.bin</t>
  </si>
  <si>
    <t>F732</t>
  </si>
  <si>
    <t>D:\Data\Document\ProductsLibrary\C线产品资料库\KB02028\固件\KB02028_0.3.4.250416_beta\UK\KB02028_UK_0.3.4.250416_F732_beta_Open.bin</t>
  </si>
  <si>
    <t>KB02028_US_0.3.4.250416_BC75_beta_Open.bin</t>
  </si>
  <si>
    <t>BC75</t>
  </si>
  <si>
    <t>D:\Data\Document\ProductsLibrary\C线产品资料库\KB02028\固件\KB02028_0.3.4.250416_beta\US\KB02028_US_0.3.4.250416_BC75_beta_Open.bin</t>
  </si>
  <si>
    <t>KB02028_DE_0.3.6.250430_E3A1_beta_Open.bin</t>
  </si>
  <si>
    <t>0.3.6</t>
  </si>
  <si>
    <t>E3A1</t>
  </si>
  <si>
    <t>D:\Data\Document\ProductsLibrary\C线产品资料库\KB02028\固件\KB02028_0.3.6.250428_beta\DE\KB02028_DE_0.3.6.250430_E3A1_beta_Open.bin</t>
  </si>
  <si>
    <t>KB02028_UK_0.3.6.250430_EBCF_beta_Open.bin</t>
  </si>
  <si>
    <t>EBCF</t>
  </si>
  <si>
    <t>D:\Data\Document\ProductsLibrary\C线产品资料库\KB02028\固件\KB02028_0.3.6.250428_beta\UK\KB02028_UK_0.3.6.250430_EBCF_beta_Open.bin</t>
  </si>
  <si>
    <t>KB02028_US_0.3.6.250430_A695_beta_Open.bin</t>
  </si>
  <si>
    <t>A695</t>
  </si>
  <si>
    <t>D:\Data\Document\ProductsLibrary\C线产品资料库\KB02028\固件\KB02028_0.3.6.250428_beta\US\KB02028_US_0.3.6.250430_A695_beta_Open.bin</t>
  </si>
  <si>
    <t>KB02028_DE_0.3.7.250506_EDE4_beta_Open.bin</t>
  </si>
  <si>
    <t>0.3.7</t>
  </si>
  <si>
    <t>EDE4</t>
  </si>
  <si>
    <t>D:\Data\Document\ProductsLibrary\C线产品资料库\KB02028\固件\KB02028_0.3.7.250506_beta\DE\KB02028_DE_0.3.7.250506_EDE4_beta_Open.bin</t>
  </si>
  <si>
    <t>KB02028_UK_0.3.7.250506_DEC4_beta_Open.bin</t>
  </si>
  <si>
    <t>DEC4</t>
  </si>
  <si>
    <t>D:\Data\Document\ProductsLibrary\C线产品资料库\KB02028\固件\KB02028_0.3.7.250506_beta\UK\KB02028_UK_0.3.7.250506_DEC4_beta_Open.bin</t>
  </si>
  <si>
    <t>KB02028_US_0.3.7.250506_CE3E_beta_Open.bin</t>
  </si>
  <si>
    <t>CE3E</t>
  </si>
  <si>
    <t>D:\Data\Document\ProductsLibrary\C线产品资料库\KB02028\固件\KB02028_0.3.7.250506_beta\US\KB02028_US_0.3.7.250506_CE3E_beta_Open.bin</t>
  </si>
  <si>
    <t>KB02028_DE_0.3.7.250506_EDE4_release_Open.bin</t>
  </si>
  <si>
    <t>D:\Data\Document\ProductsLibrary\C线产品资料库\KB02028\固件释放\KB02028_0.3.7.250506_release\DE\KB02028_DE_0.3.7.250506_EDE4_release_Open.bin</t>
  </si>
  <si>
    <t>KB02028_UK_0.3.7.250506_DEC4_release_Open.bin</t>
  </si>
  <si>
    <t>D:\Data\Document\ProductsLibrary\C线产品资料库\KB02028\固件释放\KB02028_0.3.7.250506_release\UK\KB02028_UK_0.3.7.250506_DEC4_release_Open.bin</t>
  </si>
  <si>
    <t>KB02028_US_0.3.7.250506_CE3E_release_Open.bin</t>
  </si>
  <si>
    <t>D:\Data\Document\ProductsLibrary\C线产品资料库\KB02028\固件释放\KB02028_0.3.7.250506_release\US\KB02028_US_0.3.7.250506_CE3E_release_Open.bin</t>
  </si>
  <si>
    <t>KB04111_DE_0.1.1.250603_5925_beta_Open.bin</t>
  </si>
  <si>
    <t>KB04111</t>
  </si>
  <si>
    <t>0.1.1</t>
  </si>
  <si>
    <t>D:\Data\Document\ProductsLibrary\C线产品资料库\KB04111\固件\beta\KB04111_0.1.1.250603_beta\DE\KB04111_DE_0.1.1.250603_5925_beta_Open.bin</t>
  </si>
  <si>
    <t>KB04111_UK_0.1.1.250603_5928_beta_Open.bin</t>
  </si>
  <si>
    <t>D:\Data\Document\ProductsLibrary\C线产品资料库\KB04111\固件\beta\KB04111_0.1.1.250603_beta\UK\KB04111_UK_0.1.1.250603_5928_beta_Open.bin</t>
  </si>
  <si>
    <t>KB04111_US_0.1.1.250603_32A8_beta_Open.bin</t>
  </si>
  <si>
    <t>32A8</t>
  </si>
  <si>
    <t>D:\Data\Document\ProductsLibrary\C线产品资料库\KB04111\固件\beta\KB04111_0.1.1.250603_beta\US\KB04111_US_0.1.1.250603_32A8_beta_Open.bin</t>
  </si>
  <si>
    <t>KB04111_DE_0.1.1.250609_52EC_beta_Open.bin</t>
  </si>
  <si>
    <t>52EC</t>
  </si>
  <si>
    <t>D:\Data\Document\ProductsLibrary\C线产品资料库\KB04111\固件\beta\KB04111_0.1.1.250609_beta\DE\KB04111_DE_0.1.1.250609_52EC_beta_Open.bin</t>
  </si>
  <si>
    <t>KB04111_UK_0.1.1.250609_52EF_beta_Open.bin</t>
  </si>
  <si>
    <t>52EF</t>
  </si>
  <si>
    <t>D:\Data\Document\ProductsLibrary\C线产品资料库\KB04111\固件\beta\KB04111_0.1.1.250609_beta\UK\KB04111_UK_0.1.1.250609_52EF_beta_Open.bin</t>
  </si>
  <si>
    <t>KB04111_US_0.1.1.250609_21A7_beta_Open.bin</t>
  </si>
  <si>
    <t>21A7</t>
  </si>
  <si>
    <t>D:\Data\Document\ProductsLibrary\C线产品资料库\KB04111\固件\beta\KB04111_0.1.1.250609_beta\US\KB04111_US_0.1.1.250609_21A7_beta_Open.bin</t>
  </si>
  <si>
    <t>KB04111_DE_0.1.2.250718_54A3_beta_Open.bin</t>
  </si>
  <si>
    <t>0.1.2</t>
  </si>
  <si>
    <t>54A3</t>
  </si>
  <si>
    <t>D:\Data\Document\ProductsLibrary\C线产品资料库\KB04111\固件\beta\KB04111_0.1.2.250718_beta\DE\KB04111_DE_0.1.2.250718_54A3_beta_Open.bin</t>
  </si>
  <si>
    <t>KB04111_UK_0.1.2.250718_54A6_beta_Open.bin</t>
  </si>
  <si>
    <t>54A6</t>
  </si>
  <si>
    <t>D:\Data\Document\ProductsLibrary\C线产品资料库\KB04111\固件\beta\KB04111_0.1.2.250718_beta\UK\KB04111_UK_0.1.2.250718_54A6_beta_Open.bin</t>
  </si>
  <si>
    <t>KB04111_US_0.1.2.250718_302B_beta_Open.bin</t>
  </si>
  <si>
    <t>302B</t>
  </si>
  <si>
    <t>D:\Data\Document\ProductsLibrary\C线产品资料库\KB04111\固件\beta\KB04111_0.1.2.250718_beta\US\KB04111_US_0.1.2.250718_302B_beta_Open.bin</t>
  </si>
  <si>
    <t>KB04111_DE_0.0.10.240726_beta.bin</t>
  </si>
  <si>
    <t>D:\Data\Document\ProductsLibrary\C线产品资料库\KB04111\固件\KB04111_DE_0.0.10.240726_release\KB04111_DE_0.0.10.240726_beta.bin</t>
  </si>
  <si>
    <t>KB04111_UK_0.0.10.240726_beta.bin</t>
  </si>
  <si>
    <t>D:\Data\Document\ProductsLibrary\C线产品资料库\KB04111\固件\KB04111_UK_0.0.10.240726_release\KB04111_UK_0.0.10.240726_beta.bin</t>
  </si>
  <si>
    <t>KB04111_US_0.0.10.240726_beta.bin</t>
  </si>
  <si>
    <t>D:\Data\Document\ProductsLibrary\C线产品资料库\KB04111\固件\KB04111_US_0.0.10.240726_release\KB04111_US_0.0.10.240726_beta.bin</t>
  </si>
  <si>
    <t>KB04111_DE_0.1.2.250718_54A3_release_Open.bin</t>
  </si>
  <si>
    <t>D:\Data\Document\ProductsLibrary\C线产品资料库\KB04111\固件\release\KB04111_0.1.2.250718_release\DE\KB04111_DE_0.1.2.250718_54A3_release_Open.bin</t>
  </si>
  <si>
    <t>KB04111_UK_0.1.2.250718_54A6_release_Open.bin</t>
  </si>
  <si>
    <t>D:\Data\Document\ProductsLibrary\C线产品资料库\KB04111\固件\release\KB04111_0.1.2.250718_release\UK\KB04111_UK_0.1.2.250718_54A6_release_Open.bin</t>
  </si>
  <si>
    <t>KB04111_US_0.1.2.250718_302B_release_Open.bin</t>
  </si>
  <si>
    <t>D:\Data\Document\ProductsLibrary\C线产品资料库\KB04111\固件\release\KB04111_0.1.2.250718_release\US\KB04111_US_0.1.2.250718_302B_release_Open.bin</t>
  </si>
  <si>
    <t>KB04112_DE_0.0.10.250304_1B38_beta_Open.bin</t>
  </si>
  <si>
    <t>KB04112</t>
  </si>
  <si>
    <t>1B38</t>
  </si>
  <si>
    <t>D:\Data\Document\ProductsLibrary\C线产品资料库\KB04112_blue\固件\beta\变更版\KB04112_0.0.10.250304_beta\DE\KB04112_DE_0.0.10.250304_1B38_beta_Open.bin</t>
  </si>
  <si>
    <t>KB04112_UK_0.0.10.250304_1B3B_beta_Open.bin</t>
  </si>
  <si>
    <t>1B3B</t>
  </si>
  <si>
    <t>D:\Data\Document\ProductsLibrary\C线产品资料库\KB04112_blue\固件\beta\变更版\KB04112_0.0.10.250304_beta\UK\KB04112_UK_0.0.10.250304_1B3B_beta_Open.bin</t>
  </si>
  <si>
    <t>KB04112_US_0.0.10.250304_4834_beta_Open.bin</t>
  </si>
  <si>
    <t>D:\Data\Document\ProductsLibrary\C线产品资料库\KB04112_blue\固件\beta\变更版\KB04112_0.0.10.250304_beta\US\KB04112_US_0.0.10.250304_4834_beta_Open.bin</t>
  </si>
  <si>
    <t>KB04112_DE_0.0.8.250221_4431_beta_Open.bin</t>
  </si>
  <si>
    <t>D:\Data\Document\ProductsLibrary\C线产品资料库\KB04112_blue\固件\beta\变更版\KB04112_0.0.8.250221_beta\DE\KB04112_DE_0.0.8.250221_4431_beta_Open.bin</t>
  </si>
  <si>
    <t>KB04112_UK_0.0.8.250221_4434_beta_Open.bin</t>
  </si>
  <si>
    <t>D:\Data\Document\ProductsLibrary\C线产品资料库\KB04112_blue\固件\beta\变更版\KB04112_0.0.8.250221_beta\UK\KB04112_UK_0.0.8.250221_4434_beta_Open.bin</t>
  </si>
  <si>
    <t>KB04112_US_0.0.8.250221_3B5E_beta_Open.bin</t>
  </si>
  <si>
    <t>3B5E</t>
  </si>
  <si>
    <t>D:\Data\Document\ProductsLibrary\C线产品资料库\KB04112_blue\固件\beta\变更版\KB04112_0.0.8.250221_beta\US\KB04112_US_0.0.8.250221_3B5E_beta_Open.bin</t>
  </si>
  <si>
    <t>KB04112_DE_0.0.3.241216_1354_release_Open.bin</t>
  </si>
  <si>
    <t>0.0.3</t>
  </si>
  <si>
    <t>D:\Data\Document\ProductsLibrary\C线产品资料库\KB04112_blue\固件\release\降低背光版本\KB04112_0.0.3.241216_release\DE\KB04112_DE_0.0.3.241216_1354_release_Open.bin</t>
  </si>
  <si>
    <t>KB04112_UK_0.0.3.241216_12F3_release_Open.bin</t>
  </si>
  <si>
    <t>12F3</t>
  </si>
  <si>
    <t>D:\Data\Document\ProductsLibrary\C线产品资料库\KB04112_blue\固件\release\降低背光版本\KB04112_0.0.3.241216_release\UK\KB04112_UK_0.0.3.241216_12F3_release_Open.bin</t>
  </si>
  <si>
    <t>KB04112_US_0.0.3.241216_F07_release_Open.bin</t>
  </si>
  <si>
    <t>F07</t>
  </si>
  <si>
    <t>D:\Data\Document\ProductsLibrary\C线产品资料库\KB04112_blue\固件\release\降低背光版本\KB04112_0.0.3.241216_release\US\KB04112_US_0.0.3.241216_F07_release_Open.bin</t>
  </si>
  <si>
    <t>KB04112_DE_0.0.1.240909_beta.bin</t>
  </si>
  <si>
    <t>0.0.1</t>
  </si>
  <si>
    <t>D:\Data\Document\ProductsLibrary\C线产品资料库\KB04112_gray\固件\beta\DE\KB04112_DE_0.0.1.240909_beta.bin</t>
  </si>
  <si>
    <t>KB04112_DE_0.0.17.250506_23F9_beta_Open.bin</t>
  </si>
  <si>
    <t>23F9</t>
  </si>
  <si>
    <t>D:\Data\Document\ProductsLibrary\C线产品资料库\KB04112_gray\固件\beta\KB04112_0.0.17.250506_beta\DE\KB04112_DE_0.0.17.250506_23F9_beta_Open.bin</t>
  </si>
  <si>
    <t>KB04112_UK_0.0.17.250506_23FC_beta_Open.bin</t>
  </si>
  <si>
    <t>23FC</t>
  </si>
  <si>
    <t>D:\Data\Document\ProductsLibrary\C线产品资料库\KB04112_gray\固件\beta\KB04112_0.0.17.250506_beta\UK\KB04112_UK_0.0.17.250506_23FC_beta_Open.bin</t>
  </si>
  <si>
    <t>KB04112_US_0.0.17.250506_EA45_beta_Open.bin</t>
  </si>
  <si>
    <t>EA45</t>
  </si>
  <si>
    <t>D:\Data\Document\ProductsLibrary\C线产品资料库\KB04112_gray\固件\beta\KB04112_0.0.17.250506_beta\US\KB04112_US_0.0.17.250506_EA45_beta_Open.bin</t>
  </si>
  <si>
    <t>KB04112_DE_0.0.18.250527_651B_beta_Open.bin</t>
  </si>
  <si>
    <t>0.0.18</t>
  </si>
  <si>
    <t>651B</t>
  </si>
  <si>
    <t>D:\Data\Document\ProductsLibrary\C线产品资料库\KB04112_gray\固件\beta\KB04112_0.0.18.250527_beta\DE\KB04112_DE_0.0.18.250527_651B_beta_Open.bin</t>
  </si>
  <si>
    <t>KB04112_UK_0.0.18.250527_6642_beta_Open.bin</t>
  </si>
  <si>
    <t>D:\Data\Document\ProductsLibrary\C线产品资料库\KB04112_gray\固件\beta\KB04112_0.0.18.250527_beta\UK\KB04112_UK_0.0.18.250527_6642_beta_Open.bin</t>
  </si>
  <si>
    <t>KB04112_US_0.0.18.250527_6377_beta_Open.bin</t>
  </si>
  <si>
    <t>D:\Data\Document\ProductsLibrary\C线产品资料库\KB04112_gray\固件\beta\KB04112_0.0.18.250527_beta\US\KB04112_US_0.0.18.250527_6377_beta_Open.bin</t>
  </si>
  <si>
    <t>KB04112_DE_0.1.1.250529_5649_beta_Open.bin</t>
  </si>
  <si>
    <t>D:\Data\Document\ProductsLibrary\C线产品资料库\KB04112_gray\固件\beta\KB04112_0.1.1.250529_beta\DE\KB04112_DE_0.1.1.250529_5649_beta_Open.bin</t>
  </si>
  <si>
    <t>KB04112_UK_0.1.1.250529_564C_beta_Open.bin</t>
  </si>
  <si>
    <t>564C</t>
  </si>
  <si>
    <t>D:\Data\Document\ProductsLibrary\C线产品资料库\KB04112_gray\固件\beta\KB04112_0.1.1.250529_beta\UK\KB04112_UK_0.1.1.250529_564C_beta_Open.bin</t>
  </si>
  <si>
    <t>KB04112_US_0.1.1.250529_2FCC_beta_Open.bin</t>
  </si>
  <si>
    <t>2FCC</t>
  </si>
  <si>
    <t>D:\Data\Document\ProductsLibrary\C线产品资料库\KB04112_gray\固件\beta\KB04112_0.1.1.250529_beta\US\KB04112_US_0.1.1.250529_2FCC_beta_Open.bin</t>
  </si>
  <si>
    <t>KB04112_DE_0.1.2.250606_CAAC_beta_Open.bin</t>
  </si>
  <si>
    <t>CAAC</t>
  </si>
  <si>
    <t>D:\Data\Document\ProductsLibrary\C线产品资料库\KB04112_gray\固件\beta\KB04112_0.1.2.250606_beta\DE\KB04112_DE_0.1.2.250606_CAAC_beta_Open.bin</t>
  </si>
  <si>
    <t>KB04112_UK_0.1.2.250606_CAAF_beta_Open.bin</t>
  </si>
  <si>
    <t>CAAF</t>
  </si>
  <si>
    <t>D:\Data\Document\ProductsLibrary\C线产品资料库\KB04112_gray\固件\beta\KB04112_0.1.2.250606_beta\UK\KB04112_UK_0.1.2.250606_CAAF_beta_Open.bin</t>
  </si>
  <si>
    <t>KB04112_US_0.1.2.250606_97B8_beta_Open.bin</t>
  </si>
  <si>
    <t>97B8</t>
  </si>
  <si>
    <t>D:\Data\Document\ProductsLibrary\C线产品资料库\KB04112_gray\固件\beta\KB04112_0.1.2.250606_beta\US\KB04112_US_0.1.2.250606_97B8_beta_Open.bin</t>
  </si>
  <si>
    <t>KB04112_DE_0.1.3.250718_CAA2_beta_Open.bin</t>
  </si>
  <si>
    <t>0.1.3</t>
  </si>
  <si>
    <t>CAA2</t>
  </si>
  <si>
    <t>D:\Data\Document\ProductsLibrary\C线产品资料库\KB04112_gray\固件\beta\KB04112_0.1.3.250718_beta\DE\KB04112_DE_0.1.3.250718_CAA2_beta_Open.bin</t>
  </si>
  <si>
    <t>KB04112_UK_0.1.3.250718_CAA5_beta_Open.bin</t>
  </si>
  <si>
    <t>CAA5</t>
  </si>
  <si>
    <t>D:\Data\Document\ProductsLibrary\C线产品资料库\KB04112_gray\固件\beta\KB04112_0.1.3.250718_beta\UK\KB04112_UK_0.1.3.250718_CAA5_beta_Open.bin</t>
  </si>
  <si>
    <t>KB04112_US_0.1.3.250718_97AE_beta_Open.bin</t>
  </si>
  <si>
    <t>97AE</t>
  </si>
  <si>
    <t>D:\Data\Document\ProductsLibrary\C线产品资料库\KB04112_gray\固件\beta\KB04112_0.1.3.250718_beta\US\KB04112_US_0.1.3.250718_97AE_beta_Open.bin</t>
  </si>
  <si>
    <t>KB04112_UK_0.0.1.240909_beta.bin</t>
  </si>
  <si>
    <t>D:\Data\Document\ProductsLibrary\C线产品资料库\KB04112_gray\固件\beta\UK\KB04112_UK_0.0.1.240909_beta.bin</t>
  </si>
  <si>
    <t>KB04112_US_0.0.1.240909_beta.bin</t>
  </si>
  <si>
    <t>D:\Data\Document\ProductsLibrary\C线产品资料库\KB04112_gray\固件\beta\US\KB04112_US_0.0.1.240909_beta.bin</t>
  </si>
  <si>
    <t>KB04112_DE_0.0.2.240912_release.bin</t>
  </si>
  <si>
    <t>0.0.2</t>
  </si>
  <si>
    <t>D:\Data\Document\ProductsLibrary\C线产品资料库\KB04112_gray\固件\release\KB04112_0.0.2.240912_release\DE\KB04112_DE_0.0.2.240912_release.bin</t>
  </si>
  <si>
    <t>KB04112_UK_0.0.2.240912_release.bin</t>
  </si>
  <si>
    <t>D:\Data\Document\ProductsLibrary\C线产品资料库\KB04112_gray\固件\release\KB04112_0.0.2.240912_release\UK\KB04112_UK_0.0.2.240912_release.bin</t>
  </si>
  <si>
    <t>KB04112_US_0.0.2.240912_release.bin</t>
  </si>
  <si>
    <t>D:\Data\Document\ProductsLibrary\C线产品资料库\KB04112_gray\固件\release\KB04112_0.0.2.240912_release\US\KB04112_US_0.0.2.240912_release.bin</t>
  </si>
  <si>
    <t>KB04112_DE_0.1.3.250718_CAA2_release_Open.bin</t>
  </si>
  <si>
    <t>D:\Data\Document\ProductsLibrary\C线产品资料库\KB04112_gray\固件\release\KB04112_0.1.3.250718_release\DE\KB04112_DE_0.1.3.250718_CAA2_release_Open.bin</t>
  </si>
  <si>
    <t>KB04112_UK_0.1.3.250718_CAA5_release_Open.bin</t>
  </si>
  <si>
    <t>D:\Data\Document\ProductsLibrary\C线产品资料库\KB04112_gray\固件\release\KB04112_0.1.3.250718_release\UK\KB04112_UK_0.1.3.250718_CAA5_release_Open.bin</t>
  </si>
  <si>
    <t>KB04112_US_0.1.3.250718_97AE_release_Open.bin</t>
  </si>
  <si>
    <t>D:\Data\Document\ProductsLibrary\C线产品资料库\KB04112_gray\固件\release\KB04112_0.1.3.250718_release\US\KB04112_US_0.1.3.250718_97AE_release_Open.bin</t>
  </si>
  <si>
    <t>KB04122_DE_0.0.13.241203_99AA_beta_Encrypt.bin</t>
  </si>
  <si>
    <t>KB04122</t>
  </si>
  <si>
    <t>99AA</t>
  </si>
  <si>
    <t>D:\Data\Document\ProductsLibrary\C线产品资料库\KB04122\固件\beta\KB04122_0.0.13.241203_beta\DE\KB04122_DE_0.0.13.241203_99AA_beta_Encrypt.bin</t>
  </si>
  <si>
    <t>KB04122_DE_0.0.13.241203_AEE1_beta_Open.bin</t>
  </si>
  <si>
    <t>AEE1</t>
  </si>
  <si>
    <t>D:\Data\Document\ProductsLibrary\C线产品资料库\KB04122\固件\beta\KB04122_0.0.13.241203_beta\DE\KB04122_DE_0.0.13.241203_AEE1_beta_Open.bin</t>
  </si>
  <si>
    <t>KB04122_JP_0.0.13.241203_95E8_beta_Open.bin</t>
  </si>
  <si>
    <t>95E8</t>
  </si>
  <si>
    <t>D:\Data\Document\ProductsLibrary\C线产品资料库\KB04122\固件\beta\KB04122_0.0.13.241203_beta\JP\KB04122_JP_0.0.13.241203_95E8_beta_Open.bin</t>
  </si>
  <si>
    <t>KB04122_JP_0.0.13.241203_A786_beta_Encrypt.bin</t>
  </si>
  <si>
    <t>A786</t>
  </si>
  <si>
    <t>D:\Data\Document\ProductsLibrary\C线产品资料库\KB04122\固件\beta\KB04122_0.0.13.241203_beta\JP\KB04122_JP_0.0.13.241203_A786_beta_Encrypt.bin</t>
  </si>
  <si>
    <t>KB04122_UK_0.0.13.241203_99B1_beta_Encrypt.bin</t>
  </si>
  <si>
    <t>99B1</t>
  </si>
  <si>
    <t>D:\Data\Document\ProductsLibrary\C线产品资料库\KB04122\固件\beta\KB04122_0.0.13.241203_beta\UK\KB04122_UK_0.0.13.241203_99B1_beta_Encrypt.bin</t>
  </si>
  <si>
    <t>KB04122_UK_0.0.13.241203_AEE8_beta_Open.bin</t>
  </si>
  <si>
    <t>AEE8</t>
  </si>
  <si>
    <t>D:\Data\Document\ProductsLibrary\C线产品资料库\KB04122\固件\beta\KB04122_0.0.13.241203_beta\UK\KB04122_UK_0.0.13.241203_AEE8_beta_Open.bin</t>
  </si>
  <si>
    <t>KB04122_US_0.0.13.241203_95F9_beta_Open.bin</t>
  </si>
  <si>
    <t>95F9</t>
  </si>
  <si>
    <t>D:\Data\Document\ProductsLibrary\C线产品资料库\KB04122\固件\beta\KB04122_0.0.13.241203_beta\US\KB04122_US_0.0.13.241203_95F9_beta_Open.bin</t>
  </si>
  <si>
    <t>KB04122_US_0.0.13.241203_A797_beta_Encrypt.bin</t>
  </si>
  <si>
    <t>A797</t>
  </si>
  <si>
    <t>D:\Data\Document\ProductsLibrary\C线产品资料库\KB04122\固件\beta\KB04122_0.0.13.241203_beta\US\KB04122_US_0.0.13.241203_A797_beta_Encrypt.bin</t>
  </si>
  <si>
    <t>KB04122_DE_0.0.4.240906_beta.bin</t>
  </si>
  <si>
    <t>D:\Data\Document\ProductsLibrary\C线产品资料库\KB04122\固件\beta\KB04122_0.0.4.240906_beta\DE\KB04122_DE_0.0.4.240906_beta.bin</t>
  </si>
  <si>
    <t>KB04122_JP_0.0.4.240906_beta.bin</t>
  </si>
  <si>
    <t>D:\Data\Document\ProductsLibrary\C线产品资料库\KB04122\固件\beta\KB04122_0.0.4.240906_beta\JP\KB04122_JP_0.0.4.240906_beta.bin</t>
  </si>
  <si>
    <t>KB04122_UK_0.0.4.240906_beta.bin</t>
  </si>
  <si>
    <t>D:\Data\Document\ProductsLibrary\C线产品资料库\KB04122\固件\beta\KB04122_0.0.4.240906_beta\UK\KB04122_UK_0.0.4.240906_beta.bin</t>
  </si>
  <si>
    <t>KB04122_US_0.0.4.240906_beta.bin</t>
  </si>
  <si>
    <t>D:\Data\Document\ProductsLibrary\C线产品资料库\KB04122\固件\beta\KB04122_0.0.4.240906_beta\US\KB04122_US_0.0.4.240906_beta.bin</t>
  </si>
  <si>
    <t>KB04122_DE_0.1.0.241205_9AB7_beta_Encrypt.bin</t>
  </si>
  <si>
    <t>0.1.0</t>
  </si>
  <si>
    <t>9AB7</t>
  </si>
  <si>
    <t>D:\Data\Document\ProductsLibrary\C线产品资料库\KB04122\固件\beta\KB04122_0.1.0.241205_beta\DE\KB04122_DE_0.1.0.241205_9AB7_beta_Encrypt.bin</t>
  </si>
  <si>
    <t>KB04122_DE_0.1.0.241205_B00E_beta_Open.bin</t>
  </si>
  <si>
    <t>B00E</t>
  </si>
  <si>
    <t>D:\Data\Document\ProductsLibrary\C线产品资料库\KB04122\固件\beta\KB04122_0.1.0.241205_beta\DE\KB04122_DE_0.1.0.241205_B00E_beta_Open.bin</t>
  </si>
  <si>
    <t>KB04122_JP_0.1.0.241205_94FE_beta_Open.bin</t>
  </si>
  <si>
    <t>94FE</t>
  </si>
  <si>
    <t>D:\Data\Document\ProductsLibrary\C线产品资料库\KB04122\固件\beta\KB04122_0.1.0.241205_beta\JP\KB04122_JP_0.1.0.241205_94FE_beta_Open.bin</t>
  </si>
  <si>
    <t>KB04122_JP_0.1.0.241205_A78A_beta_Encrypt.bin</t>
  </si>
  <si>
    <t>A78A</t>
  </si>
  <si>
    <t>D:\Data\Document\ProductsLibrary\C线产品资料库\KB04122\固件\beta\KB04122_0.1.0.241205_beta\JP\KB04122_JP_0.1.0.241205_A78A_beta_Encrypt.bin</t>
  </si>
  <si>
    <t>KB04122_UK_0.1.0.241205_9ABE_beta_Encrypt.bin</t>
  </si>
  <si>
    <t>9ABE</t>
  </si>
  <si>
    <t>D:\Data\Document\ProductsLibrary\C线产品资料库\KB04122\固件\beta\KB04122_0.1.0.241205_beta\UK\KB04122_UK_0.1.0.241205_9ABE_beta_Encrypt.bin</t>
  </si>
  <si>
    <t>KB04122_UK_0.1.0.241205_B015_beta_Open.bin</t>
  </si>
  <si>
    <t>B015</t>
  </si>
  <si>
    <t>D:\Data\Document\ProductsLibrary\C线产品资料库\KB04122\固件\beta\KB04122_0.1.0.241205_beta\UK\KB04122_UK_0.1.0.241205_B015_beta_Open.bin</t>
  </si>
  <si>
    <t>KB04122_US_0.1.0.241205_950F_beta_Open.bin</t>
  </si>
  <si>
    <t>950F</t>
  </si>
  <si>
    <t>D:\Data\Document\ProductsLibrary\C线产品资料库\KB04122\固件\beta\KB04122_0.1.0.241205_beta\US\KB04122_US_0.1.0.241205_950F_beta_Open.bin</t>
  </si>
  <si>
    <t>KB04122_US_0.1.0.241205_A79B_beta_Encrypt.bin</t>
  </si>
  <si>
    <t>A79B</t>
  </si>
  <si>
    <t>D:\Data\Document\ProductsLibrary\C线产品资料库\KB04122\固件\beta\KB04122_0.1.0.241205_beta\US\KB04122_US_0.1.0.241205_A79B_beta_Encrypt.bin</t>
  </si>
  <si>
    <t>KB04122_DE_0.1.1.241206_C4A3_beta_Open.bin</t>
  </si>
  <si>
    <t>C4A3</t>
  </si>
  <si>
    <t>D:\Data\Document\ProductsLibrary\C线产品资料库\KB04122\固件\beta\KB04122_0.1.1.241206_beta\DE\KB04122_DE_0.1.1.241206_C4A3_beta_Open.bin</t>
  </si>
  <si>
    <t>KB04122_JP_0.1.1.241206_A65C_beta_Open.bin</t>
  </si>
  <si>
    <t>A65C</t>
  </si>
  <si>
    <t>D:\Data\Document\ProductsLibrary\C线产品资料库\KB04122\固件\beta\KB04122_0.1.1.241206_beta\JP\KB04122_JP_0.1.1.241206_A65C_beta_Open.bin</t>
  </si>
  <si>
    <t>KB04122_UK_0.1.1.241206_C4AA_beta_Open.bin</t>
  </si>
  <si>
    <t>C4AA</t>
  </si>
  <si>
    <t>D:\Data\Document\ProductsLibrary\C线产品资料库\KB04122\固件\beta\KB04122_0.1.1.241206_beta\UK\KB04122_UK_0.1.1.241206_C4AA_beta_Open.bin</t>
  </si>
  <si>
    <t>KB04122_US_0.1.1.241206_A66D_beta_Open.bin</t>
  </si>
  <si>
    <t>A66D</t>
  </si>
  <si>
    <t>D:\Data\Document\ProductsLibrary\C线产品资料库\KB04122\固件\beta\KB04122_0.1.1.241206_beta\US\KB04122_US_0.1.1.241206_A66D_beta_Open.bin</t>
  </si>
  <si>
    <t>KB04122_DE_0.2.1.241227_3C55_beta_Open.bin</t>
  </si>
  <si>
    <t>0.2.1</t>
  </si>
  <si>
    <t>3C55</t>
  </si>
  <si>
    <t>D:\Data\Document\ProductsLibrary\C线产品资料库\KB04122\固件\beta\KB04122_0.2.1.241227_beta\DE\KB04122_DE_0.2.1.241227_3C55_beta_Open.bin</t>
  </si>
  <si>
    <t>KB04122_JP_0.2.1.241227_925_beta_Open.bin</t>
  </si>
  <si>
    <t>D:\Data\Document\ProductsLibrary\C线产品资料库\KB04122\固件\beta\KB04122_0.2.1.241227_beta\JP\KB04122_JP_0.2.1.241227_925_beta_Open.bin</t>
  </si>
  <si>
    <t>KB04122_UK_0.2.1.241227_3BF4_beta_Open.bin</t>
  </si>
  <si>
    <t>3BF4</t>
  </si>
  <si>
    <t>D:\Data\Document\ProductsLibrary\C线产品资料库\KB04122\固件\beta\KB04122_0.2.1.241227_beta\UK\KB04122_UK_0.2.1.241227_3BF4_beta_Open.bin</t>
  </si>
  <si>
    <t>KB04122_US_0.2.1.241227_972_beta_Open.bin</t>
  </si>
  <si>
    <t>D:\Data\Document\ProductsLibrary\C线产品资料库\KB04122\固件\beta\KB04122_0.2.1.241227_beta\US\KB04122_US_0.2.1.241227_972_beta_Open.bin</t>
  </si>
  <si>
    <t>KB04122_DE_0.3.1.250119_4583_beta_Open.bin</t>
  </si>
  <si>
    <t>0.3.1</t>
  </si>
  <si>
    <t>D:\Data\Document\ProductsLibrary\C线产品资料库\KB04122\固件\beta\KB04122_0.3.1.250119_beta\DE\KB04122_DE_0.3.1.250119_4583_beta_Open.bin</t>
  </si>
  <si>
    <t>KB04122_JP_0.3.1.250119_F801_beta_Open.bin</t>
  </si>
  <si>
    <t>F801</t>
  </si>
  <si>
    <t>D:\Data\Document\ProductsLibrary\C线产品资料库\KB04122\固件\beta\KB04122_0.3.1.250119_beta\JP\KB04122_JP_0.3.1.250119_F801_beta_Open.bin</t>
  </si>
  <si>
    <t>KB04122_UK_0.3.1.250119_4653_beta_Open.bin</t>
  </si>
  <si>
    <t>D:\Data\Document\ProductsLibrary\C线产品资料库\KB04122\固件\beta\KB04122_0.3.1.250119_beta\UK\KB04122_UK_0.3.1.250119_4653_beta_Open.bin</t>
  </si>
  <si>
    <t>KB04122_US_0.3.1.250119_F84E_beta_Open.bin</t>
  </si>
  <si>
    <t>F84E</t>
  </si>
  <si>
    <t>D:\Data\Document\ProductsLibrary\C线产品资料库\KB04122\固件\beta\KB04122_0.3.1.250119_beta\US\KB04122_US_0.3.1.250119_F84E_beta_Open.bin</t>
  </si>
  <si>
    <t>KB04122_DE_0.3.1.250218_30C8_beta_Open.bin</t>
  </si>
  <si>
    <t>30C8</t>
  </si>
  <si>
    <t>D:\Data\Document\ProductsLibrary\C线产品资料库\KB04122\固件\beta\KB04122_0.3.1.250218_beta\DE\KB04122_DE_0.3.1.250218_30C8_beta_Open.bin</t>
  </si>
  <si>
    <t>KB04122_JP_0.3.1.250218_F94D_beta_Open.bin</t>
  </si>
  <si>
    <t>F94D</t>
  </si>
  <si>
    <t>D:\Data\Document\ProductsLibrary\C线产品资料库\KB04122\固件\beta\KB04122_0.3.1.250218_beta\JP\KB04122_JP_0.3.1.250218_F94D_beta_Open.bin</t>
  </si>
  <si>
    <t>KB04122_UK_0.3.1.250218_3194_beta_Open.bin</t>
  </si>
  <si>
    <t>D:\Data\Document\ProductsLibrary\C线产品资料库\KB04122\固件\beta\KB04122_0.3.1.250218_beta\UK\KB04122_UK_0.3.1.250218_3194_beta_Open.bin</t>
  </si>
  <si>
    <t>KB04122_US_0.3.1.250218_F95E_beta_Open.bin</t>
  </si>
  <si>
    <t>F95E</t>
  </si>
  <si>
    <t>D:\Data\Document\ProductsLibrary\C线产品资料库\KB04122\固件\beta\KB04122_0.3.1.250218_beta\US\KB04122_US_0.3.1.250218_F95E_beta_Open.bin</t>
  </si>
  <si>
    <t>KB04122_DE_0.4.1.250312_DD55_beta_Open.bin</t>
  </si>
  <si>
    <t>0.4.1</t>
  </si>
  <si>
    <t>DD55</t>
  </si>
  <si>
    <t>D:\Data\Document\ProductsLibrary\C线产品资料库\KB04122\固件\beta\KB04122_0.4.1.250312_beta\DE\KB04122_DE_0.4.1.250312_DD55_beta_Open.bin</t>
  </si>
  <si>
    <t>KB04122_JP_0.4.1.250312_E094_beta_Open.bin</t>
  </si>
  <si>
    <t>E094</t>
  </si>
  <si>
    <t>D:\Data\Document\ProductsLibrary\C线产品资料库\KB04122\固件\beta\KB04122_0.4.1.250312_beta\JP\KB04122_JP_0.4.1.250312_E094_beta_Open.bin</t>
  </si>
  <si>
    <t>KB04122_UK_0.4.1.250312_DD5C_beta_Open.bin</t>
  </si>
  <si>
    <t>DD5C</t>
  </si>
  <si>
    <t>D:\Data\Document\ProductsLibrary\C线产品资料库\KB04122\固件\beta\KB04122_0.4.1.250312_beta\UK\KB04122_UK_0.4.1.250312_DD5C_beta_Open.bin</t>
  </si>
  <si>
    <t>KB04122_US_0.4.1.250312_E0A5_beta_Open.bin</t>
  </si>
  <si>
    <t>E0A5</t>
  </si>
  <si>
    <t>D:\Data\Document\ProductsLibrary\C线产品资料库\KB04122\固件\beta\KB04122_0.4.1.250312_beta\US\KB04122_US_0.4.1.250312_E0A5_beta_Open.bin</t>
  </si>
  <si>
    <t>KB04122_DE_0.5.1.250523_462B_beta_Open.bin</t>
  </si>
  <si>
    <t>0.5.1</t>
  </si>
  <si>
    <t>462B</t>
  </si>
  <si>
    <t>D:\Data\Document\ProductsLibrary\C线产品资料库\KB04122\固件\beta\KB04122_0.5.1.250523_beta\DE\KB04122_DE_0.5.1.250523_462B_beta_Open.bin</t>
  </si>
  <si>
    <t>KB04122_JP_0.5.1.250523_FFC6_beta_Open.bin</t>
  </si>
  <si>
    <t>FFC6</t>
  </si>
  <si>
    <t>D:\Data\Document\ProductsLibrary\C线产品资料库\KB04122\固件\beta\KB04122_0.5.1.250523_beta\JP\KB04122_JP_0.5.1.250523_FFC6_beta_Open.bin</t>
  </si>
  <si>
    <t>KB04122_UK_0.5.1.250523_4632_beta_Open.bin</t>
  </si>
  <si>
    <t>D:\Data\Document\ProductsLibrary\C线产品资料库\KB04122\固件\beta\KB04122_0.5.1.250523_beta\UK\KB04122_UK_0.5.1.250523_4632_beta_Open.bin</t>
  </si>
  <si>
    <t>KB04122_US_0.5.1.250523_FFD7_beta_Open.bin</t>
  </si>
  <si>
    <t>FFD7</t>
  </si>
  <si>
    <t>D:\Data\Document\ProductsLibrary\C线产品资料库\KB04122\固件\beta\KB04122_0.5.1.250523_beta\US\KB04122_US_0.5.1.250523_FFD7_beta_Open.bin</t>
  </si>
  <si>
    <t>KB04122_DE_ES_FR_IT_0.5.2.250530_4F02_beta_Open.bin</t>
  </si>
  <si>
    <t>0.5.2</t>
  </si>
  <si>
    <t>4F02</t>
  </si>
  <si>
    <t>D:\Data\Document\ProductsLibrary\C线产品资料库\KB04122\固件\beta\KB04122_0.5.2.250530_beta\DE_ES_FR_IT\KB04122_DE_ES_FR_IT_0.5.2.250530_4F02_beta_Open.bin</t>
  </si>
  <si>
    <t>KB04122_DE_0.3.1.250218_30C8_release_Open.bin</t>
  </si>
  <si>
    <t>D:\Data\Document\ProductsLibrary\C线产品资料库\KB04122\固件\release\KB04122_0.3.1.250218_release\DE\KB04122_DE_0.3.1.250218_30C8_release_Open.bin</t>
  </si>
  <si>
    <t>KB04122_JP_0.3.1.250218_F94D_release_Open.bin</t>
  </si>
  <si>
    <t>D:\Data\Document\ProductsLibrary\C线产品资料库\KB04122\固件\release\KB04122_0.3.1.250218_release\JP\KB04122_JP_0.3.1.250218_F94D_release_Open.bin</t>
  </si>
  <si>
    <t>KB04122_UK_0.3.1.250218_3194_release_Open.bin</t>
  </si>
  <si>
    <t>D:\Data\Document\ProductsLibrary\C线产品资料库\KB04122\固件\release\KB04122_0.3.1.250218_release\UK\KB04122_UK_0.3.1.250218_3194_release_Open.bin</t>
  </si>
  <si>
    <t>KB04122_US_0.3.1.250218_F95E_release_Open.bin</t>
  </si>
  <si>
    <t>D:\Data\Document\ProductsLibrary\C线产品资料库\KB04122\固件\release\KB04122_0.3.1.250218_release\US\KB04122_US_0.3.1.250218_F95E_release_Open.bin</t>
  </si>
  <si>
    <t>KB04122_DE_0.4.1.250314_B740_release_Open.bin</t>
  </si>
  <si>
    <t>B740</t>
  </si>
  <si>
    <t>D:\Data\Document\ProductsLibrary\C线产品资料库\KB04122\固件\release\KB04122_0.4.1.250314_release\DE\KB04122_DE_0.4.1.250314_B740_release_Open.bin</t>
  </si>
  <si>
    <t>KB04122_JP_0.4.1.250314_C058_release_Open.bin</t>
  </si>
  <si>
    <t>C058</t>
  </si>
  <si>
    <t>D:\Data\Document\ProductsLibrary\C线产品资料库\KB04122\固件\release\KB04122_0.4.1.250314_release\JP\KB04122_JP_0.4.1.250314_C058_release_Open.bin</t>
  </si>
  <si>
    <t>KB04122_UK_0.4.1.250314_B747_release_Open.bin</t>
  </si>
  <si>
    <t>B747</t>
  </si>
  <si>
    <t>D:\Data\Document\ProductsLibrary\C线产品资料库\KB04122\固件\release\KB04122_0.4.1.250314_release\UK\KB04122_UK_0.4.1.250314_B747_release_Open.bin</t>
  </si>
  <si>
    <t>KB04122_US_0.4.1.250314_C069_release_Open.bin</t>
  </si>
  <si>
    <t>C069</t>
  </si>
  <si>
    <t>D:\Data\Document\ProductsLibrary\C线产品资料库\KB04122\固件\release\KB04122_0.4.1.250314_release\US\KB04122_US_0.4.1.250314_C069_release_Open.bin</t>
  </si>
  <si>
    <t>KB04122_JP_0.5.1.250523_FFC6_release_Open.bin</t>
  </si>
  <si>
    <t>D:\Data\Document\ProductsLibrary\C线产品资料库\KB04122\固件\release\KB04122_0.5.1.250523_release\JP\KB04122_JP_0.5.1.250523_FFC6_release_Open.bin</t>
  </si>
  <si>
    <t>KB04122_UK_0.5.1.250523_4632_release_Open.bin</t>
  </si>
  <si>
    <t>D:\Data\Document\ProductsLibrary\C线产品资料库\KB04122\固件\release\KB04122_0.5.1.250523_release\UK\KB04122_UK_0.5.1.250523_4632_release_Open.bin</t>
  </si>
  <si>
    <t>KB04122_US_0.5.1.250523_FFD7_release_Open.bin</t>
  </si>
  <si>
    <t>D:\Data\Document\ProductsLibrary\C线产品资料库\KB04122\固件\release\KB04122_0.5.1.250523_release\US\KB04122_US_0.5.1.250523_FFD7_release_Open.bin</t>
  </si>
  <si>
    <t>KB04122_DE_ES_FR_IT_0.5.2.250530_4F02_release_Open.bin</t>
  </si>
  <si>
    <t>D:\Data\Document\ProductsLibrary\C线产品资料库\KB04122\固件\release\KB04122_0.5.2.250530_release\DE_ES_FR_IT\KB04122_DE_ES_FR_IT_0.5.2.250530_4F02_release_Open.bin</t>
  </si>
  <si>
    <t>KB04122_US_0.4.1.250521_5B9A_beta_Open.bin</t>
  </si>
  <si>
    <t>5B9A</t>
  </si>
  <si>
    <t>D:\Data\Document\ProductsLibrary\C线产品资料库\KB04122\固件\华为平板触控板预研固件\KB04122_0.4.1.250521_beta\US\KB04122_US_0.4.1.250521_5B9A_beta_Open.bin</t>
  </si>
  <si>
    <t>AceTouch_DE_0.0.14.250428_6901_beta_Open.bin</t>
  </si>
  <si>
    <t>D:\Data\Document\ProductsLibrary\C线产品资料库\KB04122-13A_gray\固件\AceTouch_0.0.14.250428_beta\DE\AceTouch_DE_0.0.14.250428_6901_beta_Open.bin</t>
  </si>
  <si>
    <t>AceTouch_UK_0.0.14.250428_690B_beta_Open.bin</t>
  </si>
  <si>
    <t>690B</t>
  </si>
  <si>
    <t>D:\Data\Document\ProductsLibrary\C线产品资料库\KB04122-13A_gray\固件\AceTouch_0.0.14.250428_beta\UK\AceTouch_UK_0.0.14.250428_690B_beta_Open.bin</t>
  </si>
  <si>
    <t>AceTouch_US_0.0.14.250428_4B2F_beta_Open.bin</t>
  </si>
  <si>
    <t>4B2F</t>
  </si>
  <si>
    <t>D:\Data\Document\ProductsLibrary\C线产品资料库\KB04122-13A_gray\固件\AceTouch_0.0.14.250428_beta\US\AceTouch_US_0.0.14.250428_4B2F_beta_Open.bin</t>
  </si>
  <si>
    <t>AceTouch_DE_0.0.20.250519_195F_beta_Open.bin</t>
  </si>
  <si>
    <t>0.0.20</t>
  </si>
  <si>
    <t>195F</t>
  </si>
  <si>
    <t>D:\Data\Document\ProductsLibrary\C线产品资料库\KB04122-13A_gray\固件\AceTouch_0.0.20.250519_beta\DE\AceTouch_DE_0.0.20.250519_195F_beta_Open.bin</t>
  </si>
  <si>
    <t>AceTouch_UK_0.0.20.250519_1965_beta_Open.bin</t>
  </si>
  <si>
    <t>D:\Data\Document\ProductsLibrary\C线产品资料库\KB04122-13A_gray\固件\AceTouch_0.0.20.250519_beta\UK\AceTouch_UK_0.0.20.250519_1965_beta_Open.bin</t>
  </si>
  <si>
    <t>AceTouch_US_0.0.20.250519_11D2_beta_Open.bin</t>
  </si>
  <si>
    <t>11D2</t>
  </si>
  <si>
    <t>D:\Data\Document\ProductsLibrary\C线产品资料库\KB04122-13A_gray\固件\AceTouch_0.0.20.250519_beta\US\AceTouch_US_0.0.20.250519_11D2_beta_Open.bin</t>
  </si>
  <si>
    <t>AceTouch_DE_0.0.5.250424_FB0_beta_Open.bin</t>
  </si>
  <si>
    <t>FB0</t>
  </si>
  <si>
    <t>D:\Data\Document\ProductsLibrary\C线产品资料库\KB04122-13A_gray\固件\AceTouch_0.0.5.250424_beta\DE\AceTouch_DE_0.0.5.250424_FB0_beta_Open.bin</t>
  </si>
  <si>
    <t>AceTouch_UK_0.0.5.250424_FBA_beta_Open.bin</t>
  </si>
  <si>
    <t>FBA</t>
  </si>
  <si>
    <t>D:\Data\Document\ProductsLibrary\C线产品资料库\KB04122-13A_gray\固件\AceTouch_0.0.5.250424_beta\UK\AceTouch_UK_0.0.5.250424_FBA_beta_Open.bin</t>
  </si>
  <si>
    <t>AceTouch_US_0.0.5.250424_ACBA_beta_Open.bin</t>
  </si>
  <si>
    <t>ACBA</t>
  </si>
  <si>
    <t>D:\Data\Document\ProductsLibrary\C线产品资料库\KB04122-13A_gray\固件\AceTouch_0.0.5.250424_beta\US\AceTouch_US_0.0.5.250424_ACBA_beta_Open.bin</t>
  </si>
  <si>
    <t>AceTouch_DE_0.0.20.250522_1D34_beta_Open.bin</t>
  </si>
  <si>
    <t>1D34</t>
  </si>
  <si>
    <t>D:\Data\Document\ProductsLibrary\C线产品资料库\KB04122-13A_gray\固件\beta\AceTouch_0.0.20.250522_beta\DE\AceTouch_DE_0.0.20.250522_1D34_beta_Open.bin</t>
  </si>
  <si>
    <t>AceTouch_UK_0.0.20.250522_1D3A_beta_Open.bin</t>
  </si>
  <si>
    <t>1D3A</t>
  </si>
  <si>
    <t>D:\Data\Document\ProductsLibrary\C线产品资料库\KB04122-13A_gray\固件\beta\AceTouch_0.0.20.250522_beta\UK\AceTouch_UK_0.0.20.250522_1D3A_beta_Open.bin</t>
  </si>
  <si>
    <t>AceTouch_US_0.0.20.250522_22AF_beta_Open.bin</t>
  </si>
  <si>
    <t>22AF</t>
  </si>
  <si>
    <t>D:\Data\Document\ProductsLibrary\C线产品资料库\KB04122-13A_gray\固件\beta\AceTouch_0.0.20.250522_beta\US\AceTouch_US_0.0.20.250522_22AF_beta_Open.bin</t>
  </si>
  <si>
    <t>AceTouch_DE_0.1.5.250616_84FD_beta_Open.bin</t>
  </si>
  <si>
    <t>0.1.5</t>
  </si>
  <si>
    <t>84FD</t>
  </si>
  <si>
    <t>D:\Data\Document\ProductsLibrary\C线产品资料库\KB04122-13A_gray\固件\beta\AceTouch_0.1.5.250616_beta\DE\AceTouch_DE_0.1.5.250616_84FD_beta_Open.bin</t>
  </si>
  <si>
    <t>AceTouch_JP_0.1.5.250616_6962_beta_Open.bin</t>
  </si>
  <si>
    <t>D:\Data\Document\ProductsLibrary\C线产品资料库\KB04122-13A_gray\固件\beta\AceTouch_0.1.5.250616_beta\JP\AceTouch_JP_0.1.5.250616_6962_beta_Open.bin</t>
  </si>
  <si>
    <t>AceTouch_UK_0.1.5.250616_8602_beta_Open.bin</t>
  </si>
  <si>
    <t>D:\Data\Document\ProductsLibrary\C线产品资料库\KB04122-13A_gray\固件\beta\AceTouch_0.1.5.250616_beta\UK\AceTouch_UK_0.1.5.250616_8602_beta_Open.bin</t>
  </si>
  <si>
    <t>AceTouch_US_0.1.5.250616_69D8_beta_Open.bin</t>
  </si>
  <si>
    <t>69D8</t>
  </si>
  <si>
    <t>D:\Data\Document\ProductsLibrary\C线产品资料库\KB04122-13A_gray\固件\beta\AceTouch_0.1.5.250616_beta\US\AceTouch_US_0.1.5.250616_69D8_beta_Open.bin</t>
  </si>
  <si>
    <t>AceTouch_DE_0.1.6.250626_8BC6_beta_Open.bin</t>
  </si>
  <si>
    <t>0.1.6</t>
  </si>
  <si>
    <t>8BC6</t>
  </si>
  <si>
    <t>D:\Data\Document\ProductsLibrary\C线产品资料库\KB04122-13A_gray\固件\beta\AceTouch_0.1.6.250626_beta\DE\AceTouch_DE_0.1.6.250626_8BC6_beta_Open.bin</t>
  </si>
  <si>
    <t>AceTouch_JP_0.1.6.250626_5081_beta_Open.bin</t>
  </si>
  <si>
    <t>D:\Data\Document\ProductsLibrary\C线产品资料库\KB04122-13A_gray\固件\beta\AceTouch_0.1.6.250626_beta\JP\AceTouch_JP_0.1.6.250626_5081_beta_Open.bin</t>
  </si>
  <si>
    <t>AceTouch_UK_0.1.6.250626_8BCC_beta_Open.bin</t>
  </si>
  <si>
    <t>8BCC</t>
  </si>
  <si>
    <t>D:\Data\Document\ProductsLibrary\C线产品资料库\KB04122-13A_gray\固件\beta\AceTouch_0.1.6.250626_beta\UK\AceTouch_UK_0.1.6.250626_8BCC_beta_Open.bin</t>
  </si>
  <si>
    <t>AceTouch_US_0.1.6.250626_50F7_beta_Open.bin</t>
  </si>
  <si>
    <t>50F7</t>
  </si>
  <si>
    <t>D:\Data\Document\ProductsLibrary\C线产品资料库\KB04122-13A_gray\固件\beta\AceTouch_0.1.6.250626_beta\US\AceTouch_US_0.1.6.250626_50F7_beta_Open.bin</t>
  </si>
  <si>
    <t>AceTouch_DE_0.1.7.250702_9B1D_beta_Open.bin</t>
  </si>
  <si>
    <t>0.1.7</t>
  </si>
  <si>
    <t>9B1D</t>
  </si>
  <si>
    <t>D:\Data\Document\ProductsLibrary\C线产品资料库\KB04122-13A_gray\固件\beta\AceTouch_0.1.7.250702_beta\DE\AceTouch_DE_0.1.7.250702_9B1D_beta_Open.bin</t>
  </si>
  <si>
    <t>AceTouch_JP_0.1.7.250702_735A_beta_Open.bin</t>
  </si>
  <si>
    <t>735A</t>
  </si>
  <si>
    <t>D:\Data\Document\ProductsLibrary\C线产品资料库\KB04122-13A_gray\固件\beta\AceTouch_0.1.7.250702_beta\JP\AceTouch_JP_0.1.7.250702_735A_beta_Open.bin</t>
  </si>
  <si>
    <t>AceTouch_UK_0.1.7.250702_9B23_beta_Open.bin</t>
  </si>
  <si>
    <t>9B23</t>
  </si>
  <si>
    <t>D:\Data\Document\ProductsLibrary\C线产品资料库\KB04122-13A_gray\固件\beta\AceTouch_0.1.7.250702_beta\UK\AceTouch_UK_0.1.7.250702_9B23_beta_Open.bin</t>
  </si>
  <si>
    <t>AceTouch_US_0.1.7.250702_73D0_beta_Open.bin</t>
  </si>
  <si>
    <t>73D0</t>
  </si>
  <si>
    <t>D:\Data\Document\ProductsLibrary\C线产品资料库\KB04122-13A_gray\固件\beta\AceTouch_0.1.7.250702_beta\US\AceTouch_US_0.1.7.250702_73D0_beta_Open.bin</t>
  </si>
  <si>
    <t>AceTouch_DE_0.2.5.250725_2846_beta_Open.bin</t>
  </si>
  <si>
    <t>0.2.5</t>
  </si>
  <si>
    <t>D:\Data\Document\ProductsLibrary\C线产品资料库\KB04122-13A_gray\固件\beta\AceTouch_0.2.5.250725_beta\DE\AceTouch_DE_0.2.5.250725_2846_beta_Open.bin</t>
  </si>
  <si>
    <t>AceTouch_JP_0.2.5.250725_C930_beta_Open.bin</t>
  </si>
  <si>
    <t>C930</t>
  </si>
  <si>
    <t>D:\Data\Document\ProductsLibrary\C线产品资料库\KB04122-13A_gray\固件\beta\AceTouch_0.2.5.250725_beta\JP\AceTouch_JP_0.2.5.250725_C930_beta_Open.bin</t>
  </si>
  <si>
    <t>AceTouch_UK_0.2.5.250725_284C_beta_Open.bin</t>
  </si>
  <si>
    <t>284C</t>
  </si>
  <si>
    <t>D:\Data\Document\ProductsLibrary\C线产品资料库\KB04122-13A_gray\固件\beta\AceTouch_0.2.5.250725_beta\UK\AceTouch_UK_0.2.5.250725_284C_beta_Open.bin</t>
  </si>
  <si>
    <t>AceTouch_US_0.2.5.250725_C9A6_beta_Open.bin</t>
  </si>
  <si>
    <t>C9A6</t>
  </si>
  <si>
    <t>D:\Data\Document\ProductsLibrary\C线产品资料库\KB04122-13A_gray\固件\beta\AceTouch_0.2.5.250725_beta\US\AceTouch_US_0.2.5.250725_C9A6_beta_Open.bin</t>
  </si>
  <si>
    <t>AceTouch_DE_0.2.1.250708_9511_release_Open.bin</t>
  </si>
  <si>
    <t>D:\Data\Document\ProductsLibrary\C线产品资料库\KB04122-13A_gray\固件\release\AceTouch_0.2.1.250708_release\DE\AceTouch_DE_0.2.1.250708_9511_release_Open.bin</t>
  </si>
  <si>
    <t>AceTouch_JP_0.2.1.250708_6D4E_release_Open.bin</t>
  </si>
  <si>
    <t>6D4E</t>
  </si>
  <si>
    <t>D:\Data\Document\ProductsLibrary\C线产品资料库\KB04122-13A_gray\固件\release\AceTouch_0.2.1.250708_release\JP\AceTouch_JP_0.2.1.250708_6D4E_release_Open.bin</t>
  </si>
  <si>
    <t>AceTouch_UK_0.2.1.250708_9517_release_Open.bin</t>
  </si>
  <si>
    <t>D:\Data\Document\ProductsLibrary\C线产品资料库\KB04122-13A_gray\固件\release\AceTouch_0.2.1.250708_release\UK\AceTouch_UK_0.2.1.250708_9517_release_Open.bin</t>
  </si>
  <si>
    <t>AceTouch_US_0.2.1.250708_6DC4_release_Open.bin</t>
  </si>
  <si>
    <t>6DC4</t>
  </si>
  <si>
    <t>D:\Data\Document\ProductsLibrary\C线产品资料库\KB04122-13A_gray\固件\release\AceTouch_0.2.1.250708_release\US\AceTouch_US_0.2.1.250708_6DC4_release_Open.bin</t>
  </si>
  <si>
    <t>AceTouch_DE_0.2.4.250709_E869_release_Open.bin</t>
  </si>
  <si>
    <t>0.2.4</t>
  </si>
  <si>
    <t>E869</t>
  </si>
  <si>
    <t>D:\Data\Document\ProductsLibrary\C线产品资料库\KB04122-13A_gray\固件\release\AceTouch_0.2.4.250709_release\DE\AceTouch_DE_0.2.4.250709_E869_release_Open.bin</t>
  </si>
  <si>
    <t>AceTouch_JP_0.2.4.250709_C2FC_release_Open.bin</t>
  </si>
  <si>
    <t>C2FC</t>
  </si>
  <si>
    <t>D:\Data\Document\ProductsLibrary\C线产品资料库\KB04122-13A_gray\固件\release\AceTouch_0.2.4.250709_release\JP\AceTouch_JP_0.2.4.250709_C2FC_release_Open.bin</t>
  </si>
  <si>
    <t>AceTouch_UK_0.2.4.250709_E86F_release_Open.bin</t>
  </si>
  <si>
    <t>E86F</t>
  </si>
  <si>
    <t>D:\Data\Document\ProductsLibrary\C线产品资料库\KB04122-13A_gray\固件\release\AceTouch_0.2.4.250709_release\UK\AceTouch_UK_0.2.4.250709_E86F_release_Open.bin</t>
  </si>
  <si>
    <t>AceTouch_US_0.2.4.250709_C372_release_Open.bin</t>
  </si>
  <si>
    <t>C372</t>
  </si>
  <si>
    <t>D:\Data\Document\ProductsLibrary\C线产品资料库\KB04122-13A_gray\固件\release\AceTouch_0.2.4.250709_release\US\AceTouch_US_0.2.4.250709_C372_release_Open.bin</t>
  </si>
  <si>
    <t>AceTouch_DE_0.2.5.250725_2846_release_Open.bin</t>
  </si>
  <si>
    <t>D:\Data\Document\ProductsLibrary\C线产品资料库\KB04122-13A_gray\固件\release\AceTouch_0.2.5.250725_release\DE\AceTouch_DE_0.2.5.250725_2846_release_Open.bin</t>
  </si>
  <si>
    <t>AceTouch_JP_0.2.5.250725_C930_release_Open.bin</t>
  </si>
  <si>
    <t>D:\Data\Document\ProductsLibrary\C线产品资料库\KB04122-13A_gray\固件\release\AceTouch_0.2.5.250725_release\JP\AceTouch_JP_0.2.5.250725_C930_release_Open.bin</t>
  </si>
  <si>
    <t>AceTouch_UK_0.2.5.250725_284C_release_Open.bin</t>
  </si>
  <si>
    <t>D:\Data\Document\ProductsLibrary\C线产品资料库\KB04122-13A_gray\固件\release\AceTouch_0.2.5.250725_release\UK\AceTouch_UK_0.2.5.250725_284C_release_Open.bin</t>
  </si>
  <si>
    <t>AceTouch_US_0.2.5.250725_C9A6_release_Open.bin</t>
  </si>
  <si>
    <t>D:\Data\Document\ProductsLibrary\C线产品资料库\KB04122-13A_gray\固件\release\AceTouch_0.2.5.250725_release\US\AceTouch_US_0.2.5.250725_C9A6_release_Open.bin</t>
  </si>
  <si>
    <t>AceTouch_DE_0.3.5.251117_F3B0_release_Open.bin</t>
  </si>
  <si>
    <t>0.3.5</t>
  </si>
  <si>
    <t>F3B0</t>
  </si>
  <si>
    <t>D:\Data\Document\ProductsLibrary\C线产品资料库\KB04122-13A_gray\固件\release\AceTouch_0.3.5.251117_release\DE\AceTouch_DE_0.3.5.251117_F3B0_release_Open.bin</t>
  </si>
  <si>
    <t>AceTouch_JP_0.3.5.251117_60B_release_Open.bin</t>
  </si>
  <si>
    <t>60B</t>
  </si>
  <si>
    <t>D:\Data\Document\ProductsLibrary\C线产品资料库\KB04122-13A_gray\固件\release\AceTouch_0.3.5.251117_release\JP\AceTouch_JP_0.3.5.251117_60B_release_Open.bin</t>
  </si>
  <si>
    <t>AceTouch_UK_0.3.5.251117_F3B6_release_Open.bin</t>
  </si>
  <si>
    <t>F3B6</t>
  </si>
  <si>
    <t>D:\Data\Document\ProductsLibrary\C线产品资料库\KB04122-13A_gray\固件\release\AceTouch_0.3.5.251117_release\UK\AceTouch_UK_0.3.5.251117_F3B6_release_Open.bin</t>
  </si>
  <si>
    <t>AceTouch_US_0.3.5.251117_681_release_Open.bin</t>
  </si>
  <si>
    <t>D:\Data\Document\ProductsLibrary\C线产品资料库\KB04122-13A_gray\固件\release\AceTouch_0.3.5.251117_release\US\AceTouch_US_0.3.5.251117_681_release_Open.bin</t>
  </si>
  <si>
    <t>N0046_N0047_AceTouch_DE_0.2.7.250823_A59B_release_Open.bin</t>
  </si>
  <si>
    <t>0.2.7</t>
  </si>
  <si>
    <t>A59B</t>
  </si>
  <si>
    <t>D:\Data\Document\ProductsLibrary\C线产品资料库\KB04122-13A_gray\固件\release\N0046_N0047_AceTouch_0.2.7.250823_release\DE\N0046_N0047_AceTouch_DE_0.2.7.250823_A59B_release_Open.bin</t>
  </si>
  <si>
    <t>N0046_N0047_AceTouch__JP_0.2.7.250823_5A0B_release_Open.bin</t>
  </si>
  <si>
    <t>5A0B</t>
  </si>
  <si>
    <t>D:\Data\Document\ProductsLibrary\C线产品资料库\KB04122-13A_gray\固件\release\N0046_N0047_AceTouch_0.2.7.250823_release\JP\N0046_N0047_AceTouch__JP_0.2.7.250823_5A0B_release_Open.bin</t>
  </si>
  <si>
    <t>N0046_N0047_AceTouch_UK_0.2.7.250823_A5A1_release_Open.bin</t>
  </si>
  <si>
    <t>A5A1</t>
  </si>
  <si>
    <t>D:\Data\Document\ProductsLibrary\C线产品资料库\KB04122-13A_gray\固件\release\N0046_N0047_AceTouch_0.2.7.250823_release\UK\N0046_N0047_AceTouch_UK_0.2.7.250823_A5A1_release_Open.bin</t>
  </si>
  <si>
    <t>N0046_N0047_AceTouch_US_0.2.7.250823_5A81_release_Open.bin</t>
  </si>
  <si>
    <t>5A81</t>
  </si>
  <si>
    <t>D:\Data\Document\ProductsLibrary\C线产品资料库\KB04122-13A_gray\固件\release\N0046_N0047_AceTouch_0.2.7.250823_release\US\N0046_N0047_AceTouch_US_0.2.7.250823_5A81_release_Open.bin</t>
  </si>
  <si>
    <t>N0046_N0047_AceTouch_DE_0.3.4.250929_EC08_release_Open.bin</t>
  </si>
  <si>
    <t>EC08</t>
  </si>
  <si>
    <t>D:\Data\Document\ProductsLibrary\C线产品资料库\KB04122-13A_gray\固件\release\N0046_N0047_AceTouch_0.3.4.250929_release\DE\N0046_N0047_AceTouch_DE_0.3.4.250929_EC08_release_Open.bin</t>
  </si>
  <si>
    <t>N0046_N0047_AceTouch_JP_0.3.4.250929_621_release_Open.bin</t>
  </si>
  <si>
    <t>D:\Data\Document\ProductsLibrary\C线产品资料库\KB04122-13A_gray\固件\release\N0046_N0047_AceTouch_0.3.4.250929_release\JP\N0046_N0047_AceTouch_JP_0.3.4.250929_621_release_Open.bin</t>
  </si>
  <si>
    <t>N0046_N0047_AceTouch_UK_0.3.4.250929_EC0E_release_Open.bin</t>
  </si>
  <si>
    <t>EC0E</t>
  </si>
  <si>
    <t>D:\Data\Document\ProductsLibrary\C线产品资料库\KB04122-13A_gray\固件\release\N0046_N0047_AceTouch_0.3.4.250929_release\UK\N0046_N0047_AceTouch_UK_0.3.4.250929_EC0E_release_Open.bin</t>
  </si>
  <si>
    <t>N0046_N0047_AceTouch_US_0.3.4.250929_697_release_Open.bin</t>
  </si>
  <si>
    <t>D:\Data\Document\ProductsLibrary\C线产品资料库\KB04122-13A_gray\固件\release\N0046_N0047_AceTouch_0.3.4.250929_release\US\N0046_N0047_AceTouch_US_0.3.4.250929_697_release_Open.bin</t>
  </si>
  <si>
    <t>KB04122_RGB_DE_ES_FR_IT_0.0.13.251212_F353_release_Open.bin</t>
  </si>
  <si>
    <t>F353</t>
  </si>
  <si>
    <t>D:\Data\Document\ProductsLibrary\C线产品资料库\KB04122-RGB\固件\release\KB04122_RGB_0.0.13.251212_release\DE_ES_FR_IT\KB04122_RGB_DE_ES_FR_IT_0.0.13.251212_F353_release_Open.bin</t>
  </si>
  <si>
    <t>KB04122_RGB_JP_0.0.13.251212_C446_release_Open.bin</t>
  </si>
  <si>
    <t>KB04122_RGB</t>
  </si>
  <si>
    <t>C446</t>
  </si>
  <si>
    <t>D:\Data\Document\ProductsLibrary\C线产品资料库\KB04122-RGB\固件\release\KB04122_RGB_0.0.13.251212_release\JP\KB04122_RGB_JP_0.0.13.251212_C446_release_Open.bin</t>
  </si>
  <si>
    <t>KB04122_RGB_UK_0.0.13.251212_F224_release_Open.bin</t>
  </si>
  <si>
    <t>F224</t>
  </si>
  <si>
    <t>D:\Data\Document\ProductsLibrary\C线产品资料库\KB04122-RGB\固件\release\KB04122_RGB_0.0.13.251212_release\UK\KB04122_RGB_UK_0.0.13.251212_F224_release_Open.bin</t>
  </si>
  <si>
    <t>KB04122_RGB_US_0.0.13.251212_C4B5_release_Open.bin</t>
  </si>
  <si>
    <t>C4B5</t>
  </si>
  <si>
    <t>D:\Data\Document\ProductsLibrary\C线产品资料库\KB04122-RGB\固件\release\KB04122_RGB_0.0.13.251212_release\US\KB04122_RGB_US_0.0.13.251212_C4B5_release_Open.bin</t>
  </si>
  <si>
    <t>KB05113_DE_1.0.0.240607_release.bin</t>
  </si>
  <si>
    <t>KB05113</t>
  </si>
  <si>
    <t>1.0.0</t>
  </si>
  <si>
    <t>D:\Data\Document\ProductsLibrary\C线产品资料库\KB05113 自研软件\1.0.0\KB05113_DE_1.0.0.240607_release\KB05113_DE_1.0.0.240607_release.bin</t>
  </si>
  <si>
    <t>KB05113_DE_1.0.0.240607_release_Encrypt.bin</t>
  </si>
  <si>
    <t>D:\Data\Document\ProductsLibrary\C线产品资料库\KB05113 自研软件\1.0.0\KB05113_DE_1.0.0.240607_release\KB05113_DE_1.0.0.240607_release_Encrypt.bin</t>
  </si>
  <si>
    <t>KB05113_UK_1.0.0.240607_release.bin</t>
  </si>
  <si>
    <t>D:\Data\Document\ProductsLibrary\C线产品资料库\KB05113 自研软件\1.0.0\KB05113_UK_1.0.0.240607_release\KB05113_UK_1.0.0.240607_release.bin</t>
  </si>
  <si>
    <t>KB05113_UK_1.0.0.240607_release_Encrypt.bin</t>
  </si>
  <si>
    <t>D:\Data\Document\ProductsLibrary\C线产品资料库\KB05113 自研软件\1.0.0\KB05113_UK_1.0.0.240607_release\KB05113_UK_1.0.0.240607_release_Encrypt.bin</t>
  </si>
  <si>
    <t>KB05113_US_1.0.0.240607_release.bin</t>
  </si>
  <si>
    <t>D:\Data\Document\ProductsLibrary\C线产品资料库\KB05113 自研软件\1.0.0\KB05113_US_1.0.0.240607_release\KB05113_US_1.0.0.240607_release.bin</t>
  </si>
  <si>
    <t>KB05113_US_1.0.0.240607_release_Encrypt.bin</t>
  </si>
  <si>
    <t>D:\Data\Document\ProductsLibrary\C线产品资料库\KB05113 自研软件\1.0.0\KB05113_US_1.0.0.240607_release\KB05113_US_1.0.0.240607_release_Encrypt.bin</t>
  </si>
  <si>
    <t>KB05114_ALL_1.0.11.250205_4E51_beta_Open.bin</t>
  </si>
  <si>
    <t>KB05114</t>
  </si>
  <si>
    <t>ALL</t>
  </si>
  <si>
    <t>1.0.11</t>
  </si>
  <si>
    <t>4E51</t>
  </si>
  <si>
    <t>D:\Data\Document\ProductsLibrary\C线产品资料库\KB05114\beta\新PCBA\KB05114_1.0.11.250205_beta\ALL\KB05114_ALL_1.0.11.250205_4E51_beta_Open.bin</t>
  </si>
  <si>
    <t>KB05114_DE_1.2.3.250418_90D3_beta_Open.bin</t>
  </si>
  <si>
    <t>1.2.3</t>
  </si>
  <si>
    <t>90D3</t>
  </si>
  <si>
    <t>D:\Data\Document\ProductsLibrary\C线产品资料库\KB05114\beta\新PCBA\KB05114_1.2.3.250418_beta\DE\KB05114_DE_1.2.3.250418_90D3_beta_Open.bin</t>
  </si>
  <si>
    <t>KB05114_UK_1.2.3.250418_90EC_beta_Open.bin</t>
  </si>
  <si>
    <t>90EC</t>
  </si>
  <si>
    <t>D:\Data\Document\ProductsLibrary\C线产品资料库\KB05114\beta\新PCBA\KB05114_1.2.3.250418_beta\UK\KB05114_UK_1.2.3.250418_90EC_beta_Open.bin</t>
  </si>
  <si>
    <t>KB05114_US_1.2.3.250418_A2D1_beta_Open.bin</t>
  </si>
  <si>
    <t>A2D1</t>
  </si>
  <si>
    <t>D:\Data\Document\ProductsLibrary\C线产品资料库\KB05114\beta\新PCBA\KB05114_1.2.3.250418_beta\US\KB05114_US_1.2.3.250418_A2D1_beta_Open.bin</t>
  </si>
  <si>
    <t>KB05114_DE_1.2.4.250430_F72C_beta_Open.bin</t>
  </si>
  <si>
    <t>1.2.4</t>
  </si>
  <si>
    <t>F72C</t>
  </si>
  <si>
    <t>D:\Data\Document\ProductsLibrary\C线产品资料库\KB05114\beta\新PCBA\KB05114_1.2.4.250430_beta\DE\KB05114_DE_1.2.4.250430_F72C_beta_Open.bin</t>
  </si>
  <si>
    <t>KB05114_UK_1.2.4.250430_F745_beta_Open.bin</t>
  </si>
  <si>
    <t>F745</t>
  </si>
  <si>
    <t>D:\Data\Document\ProductsLibrary\C线产品资料库\KB05114\beta\新PCBA\KB05114_1.2.4.250430_beta\UK\KB05114_UK_1.2.4.250430_F745_beta_Open.bin</t>
  </si>
  <si>
    <t>KB05114_US_1.2.4.250430_F58D_beta_Open.bin</t>
  </si>
  <si>
    <t>F58D</t>
  </si>
  <si>
    <t>D:\Data\Document\ProductsLibrary\C线产品资料库\KB05114\beta\新PCBA\KB05114_1.2.4.250430_beta\US\KB05114_US_1.2.4.250430_F58D_beta_Open.bin</t>
  </si>
  <si>
    <t>KB05114_ALL_1.3.1.250529_F810_beta_Open.bin</t>
  </si>
  <si>
    <t>1.3.1</t>
  </si>
  <si>
    <t>F810</t>
  </si>
  <si>
    <t>D:\Data\Document\ProductsLibrary\C线产品资料库\KB05114\beta\新PCBA\KB05114_1.3.1.250529_beta\ALL\KB05114_ALL_1.3.1.250529_F810_beta_Open.bin</t>
  </si>
  <si>
    <t>KB06103_DE_0.0.24.241016_beta.bin</t>
  </si>
  <si>
    <t>KB06103</t>
  </si>
  <si>
    <t>0.0.24</t>
  </si>
  <si>
    <t>D:\Data\Document\ProductsLibrary\C线产品资料库\KB05114\KB06103\固件\beta\KB06103_0.0.24.241016_beta\DE\KB06103_DE_0.0.24.241016_beta.bin</t>
  </si>
  <si>
    <t>KB06103_US_0.0.24.241016_beta.bin</t>
  </si>
  <si>
    <t>D:\Data\Document\ProductsLibrary\C线产品资料库\KB05114\KB06103\固件\beta\KB06103_0.0.24.241016_beta\US\KB06103_US_0.0.24.241016_beta.bin</t>
  </si>
  <si>
    <t>KB06103_DE_0.1.25.241021_beta.bin</t>
  </si>
  <si>
    <t>0.1.25</t>
  </si>
  <si>
    <t>D:\Data\Document\ProductsLibrary\C线产品资料库\KB05114\KB06103\固件\beta\KB06103_0.1.25.241021_beta\DE\KB06103_DE_0.1.25.241021_beta.bin</t>
  </si>
  <si>
    <t>KB06103_US_0.1.25.241021_beta.bin</t>
  </si>
  <si>
    <t>D:\Data\Document\ProductsLibrary\C线产品资料库\KB05114\KB06103\固件\beta\KB06103_0.1.25.241021_beta\US\KB06103_US_0.1.25.241021_beta.bin</t>
  </si>
  <si>
    <t>KB06103_DE_0.1.27.241022_beta.bin</t>
  </si>
  <si>
    <t>0.1.27</t>
  </si>
  <si>
    <t>D:\Data\Document\ProductsLibrary\C线产品资料库\KB05114\KB06103\固件\beta\KB06103_0.1.27.241022_beta\DE\KB06103_DE_0.1.27.241022_beta.bin</t>
  </si>
  <si>
    <t>KB06103_US_0.1.27.241022_beta.bin</t>
  </si>
  <si>
    <t>D:\Data\Document\ProductsLibrary\C线产品资料库\KB05114\KB06103\固件\beta\KB06103_0.1.27.241022_beta\US\KB06103_US_0.1.27.241022_beta.bin</t>
  </si>
  <si>
    <t>KB06103_DE_0.1.31.241213_8DF4_beta_Open.bin</t>
  </si>
  <si>
    <t>0.1.31</t>
  </si>
  <si>
    <t>8DF4</t>
  </si>
  <si>
    <t>D:\Data\Document\ProductsLibrary\C线产品资料库\KB05114\KB06103\固件\beta\KB06103_0.1.31.241213_beta\DE\KB06103_DE_0.1.31.241213_8DF4_beta_Open.bin</t>
  </si>
  <si>
    <t>KB06103_US_0.1.31.241213_1FAE_beta_Open.bin</t>
  </si>
  <si>
    <t>1FAE</t>
  </si>
  <si>
    <t>D:\Data\Document\ProductsLibrary\C线产品资料库\KB05114\KB06103\固件\beta\KB06103_0.1.31.241213_beta\US\KB06103_US_0.1.31.241213_1FAE_beta_Open.bin</t>
  </si>
  <si>
    <t>KB06103_DE_0.1.32.241218_8B4E_beta_Open.bin</t>
  </si>
  <si>
    <t>0.1.32</t>
  </si>
  <si>
    <t>8B4E</t>
  </si>
  <si>
    <t>D:\Data\Document\ProductsLibrary\C线产品资料库\KB05114\KB06103\固件\beta\KB06103_0.1.32.241218_beta\DE\KB06103_DE_0.1.32.241218_8B4E_beta_Open.bin</t>
  </si>
  <si>
    <t>KB06103_US_0.1.32.241218_2992_beta_Open.bin</t>
  </si>
  <si>
    <t>D:\Data\Document\ProductsLibrary\C线产品资料库\KB05114\KB06103\固件\beta\KB06103_0.1.32.241218_beta\US\KB06103_US_0.1.32.241218_2992_beta_Open.bin</t>
  </si>
  <si>
    <t>KB06103_DE_0.1.37.250115_D055_beta_Open.bin</t>
  </si>
  <si>
    <t>0.1.37</t>
  </si>
  <si>
    <t>D055</t>
  </si>
  <si>
    <t>D:\Data\Document\ProductsLibrary\C线产品资料库\KB05114\KB06103\固件\beta\KB06103_0.1.37.250115_beta\DE\KB06103_DE_0.1.37.250115_D055_beta_Open.bin</t>
  </si>
  <si>
    <t>KB06103_US_0.1.37.250115_89F4_beta_Open.bin</t>
  </si>
  <si>
    <t>89F4</t>
  </si>
  <si>
    <t>D:\Data\Document\ProductsLibrary\C线产品资料库\KB05114\KB06103\固件\beta\KB06103_0.1.37.250115_beta\US\KB06103_US_0.1.37.250115_89F4_beta_Open.bin</t>
  </si>
  <si>
    <t>KB06103_DE_0.1.38.250121_CDD7_beta_Open.bin</t>
  </si>
  <si>
    <t>0.1.38</t>
  </si>
  <si>
    <t>CDD7</t>
  </si>
  <si>
    <t>D:\Data\Document\ProductsLibrary\C线产品资料库\KB05114\KB06103\固件\beta\KB06103_0.1.38.250121_beta\DE\KB06103_DE_0.1.38.250121_CDD7_beta_Open.bin</t>
  </si>
  <si>
    <t>KB06103_US_0.1.38.250121_864D_beta_Open.bin</t>
  </si>
  <si>
    <t>864D</t>
  </si>
  <si>
    <t>D:\Data\Document\ProductsLibrary\C线产品资料库\KB05114\KB06103\固件\beta\KB06103_0.1.38.250121_beta\US\KB06103_US_0.1.38.250121_864D_beta_Open.bin</t>
  </si>
  <si>
    <t>KB06103_DE_0.1.39.250124_D426_beta_Open.bin</t>
  </si>
  <si>
    <t>0.1.39</t>
  </si>
  <si>
    <t>D426</t>
  </si>
  <si>
    <t>D:\Data\Document\ProductsLibrary\C线产品资料库\KB05114\KB06103\固件\beta\KB06103_0.1.39.250124_beta\DE\KB06103_DE_0.1.39.250124_D426_beta_Open.bin</t>
  </si>
  <si>
    <t>KB06103_US_0.1.39.250124_9714_beta_Open.bin</t>
  </si>
  <si>
    <t>D:\Data\Document\ProductsLibrary\C线产品资料库\KB05114\KB06103\固件\beta\KB06103_0.1.39.250124_beta\US\KB06103_US_0.1.39.250124_9714_beta_Open.bin</t>
  </si>
  <si>
    <t>KB06103_DE_0.1.40.250208_F2EE_beta_Open.bin</t>
  </si>
  <si>
    <t>0.1.40</t>
  </si>
  <si>
    <t>F2EE</t>
  </si>
  <si>
    <t>D:\Data\Document\ProductsLibrary\C线产品资料库\KB05114\KB06103\固件\beta\KB06103_0.1.40.250208_beta\DE\KB06103_DE_0.1.40.250208_F2EE_beta_Open.bin</t>
  </si>
  <si>
    <t>KB06103_US_0.1.40.250208_B6AE_beta_Open.bin</t>
  </si>
  <si>
    <t>B6AE</t>
  </si>
  <si>
    <t>D:\Data\Document\ProductsLibrary\C线产品资料库\KB05114\KB06103\固件\beta\KB06103_0.1.40.250208_beta\US\KB06103_US_0.1.40.250208_B6AE_beta_Open.bin</t>
  </si>
  <si>
    <t>KB06103_DE_0.1.30.241203_10D6_release_Encrypt.bin</t>
  </si>
  <si>
    <t>0.1.30</t>
  </si>
  <si>
    <t>10D6</t>
  </si>
  <si>
    <t>D:\Data\Document\ProductsLibrary\C线产品资料库\KB05114\KB06103\固件\release\KB06103_0.1.30.241203_release\DE\KB06103_DE_0.1.30.241203_10D6_release_Encrypt.bin</t>
  </si>
  <si>
    <t>KB06103_DE_0.1.30.241203_3313_release_Open.bin</t>
  </si>
  <si>
    <t>D:\Data\Document\ProductsLibrary\C线产品资料库\KB05114\KB06103\固件\release\KB06103_0.1.30.241203_release\DE\KB06103_DE_0.1.30.241203_3313_release_Open.bin</t>
  </si>
  <si>
    <t>KB06103_US_0.1.30.241203_DDD5_release_Encrypt.bin</t>
  </si>
  <si>
    <t>DDD5</t>
  </si>
  <si>
    <t>D:\Data\Document\ProductsLibrary\C线产品资料库\KB05114\KB06103\固件\release\KB06103_0.1.30.241203_release\US\KB06103_US_0.1.30.241203_DDD5_release_Encrypt.bin</t>
  </si>
  <si>
    <t>KB06103_US_0.1.30.241203_FD37_release_Open.bin</t>
  </si>
  <si>
    <t>FD37</t>
  </si>
  <si>
    <t>D:\Data\Document\ProductsLibrary\C线产品资料库\KB05114\KB06103\固件\release\KB06103_0.1.30.241203_release\US\KB06103_US_0.1.30.241203_FD37_release_Open.bin</t>
  </si>
  <si>
    <t>KB06103_DE_0.1.32.241218_8B4E_release_Open.bin</t>
  </si>
  <si>
    <t>D:\Data\Document\ProductsLibrary\C线产品资料库\KB05114\KB06103\固件\release\KB06103_0.1.32.241218_release\DE\KB06103_DE_0.1.32.241218_8B4E_release_Open.bin</t>
  </si>
  <si>
    <t>KB06103_US_0.1.32.241218_2992_release_Open.bin</t>
  </si>
  <si>
    <t>D:\Data\Document\ProductsLibrary\C线产品资料库\KB05114\KB06103\固件\release\KB06103_0.1.32.241218_release\US\KB06103_US_0.1.32.241218_2992_release_Open.bin</t>
  </si>
  <si>
    <t>KB06103_DE_0.1.40.250208_F2EE_release_Open.bin</t>
  </si>
  <si>
    <t>D:\Data\Document\ProductsLibrary\C线产品资料库\KB05114\KB06103\固件\release\KB06103_0.1.40.250208_release\DE\KB06103_DE_0.1.40.250208_F2EE_release_Open.bin</t>
  </si>
  <si>
    <t>KB06103_US_0.1.40.250208_B6AE_release_Open.bin</t>
  </si>
  <si>
    <t>D:\Data\Document\ProductsLibrary\C线产品资料库\KB05114\KB06103\固件\release\KB06103_0.1.40.250208_release\US\KB06103_US_0.1.40.250208_B6AE_release_Open.bin</t>
  </si>
  <si>
    <t>KB05114_ALL_1.0.5.240918_release.bin</t>
  </si>
  <si>
    <t>1.0.5</t>
  </si>
  <si>
    <t>D:\Data\Document\ProductsLibrary\C线产品资料库\KB05114\固件释放\0918-release\KB05114_ALL_1.0.5.240918_release.bin</t>
  </si>
  <si>
    <t>KB05114_ALL_1.3.1.250529_F810_release_Open.bin</t>
  </si>
  <si>
    <t>D:\Data\Document\ProductsLibrary\C线产品资料库\KB05114\固件释放\KB05114_1.3.1.250529_release\ALL\KB05114_ALL_1.3.1.250529_F810_release_Open.bin</t>
  </si>
  <si>
    <t>KB05114_ALL_1.3.2.250605_5D1_release_Open.bin</t>
  </si>
  <si>
    <t>1.3.2</t>
  </si>
  <si>
    <t>5D1</t>
  </si>
  <si>
    <t>D:\Data\Document\ProductsLibrary\C线产品资料库\KB05114\固件释放\KB05114_1.3.2.250605_release\ALL\KB05114_ALL_1.3.2.250605_5D1_release_Open.bin</t>
  </si>
  <si>
    <t>KB06006_DE_0.0.1.241008_beta.bin</t>
  </si>
  <si>
    <t>KB06006</t>
  </si>
  <si>
    <t>D:\Data\Document\ProductsLibrary\C线产品资料库\KB06006\固件\beta\键盘\KB06006_0.0.1.241008_beta\DE\KB06006_DE_0.0.1.241008_beta.bin</t>
  </si>
  <si>
    <t>D:\Data\Document\ProductsLibrary\C线产品资料库\KB06006\固件\beta\键盘\KB06006_0.0.1.241008_beta\KB06006_0.0.1.241008_beta\DE\KB06006_DE_0.0.1.241008_beta.bin</t>
  </si>
  <si>
    <t>KB06006_UK_0.0.1.241008_beta.bin</t>
  </si>
  <si>
    <t>D:\Data\Document\ProductsLibrary\C线产品资料库\KB06006\固件\beta\键盘\KB06006_0.0.1.241008_beta\KB06006_0.0.1.241008_beta\UK\KB06006_UK_0.0.1.241008_beta.bin</t>
  </si>
  <si>
    <t>KB06006_US_0.0.1.241008_beta.bin</t>
  </si>
  <si>
    <t>D:\Data\Document\ProductsLibrary\C线产品资料库\KB06006\固件\beta\键盘\KB06006_0.0.1.241008_beta\KB06006_0.0.1.241008_beta\US\KB06006_US_0.0.1.241008_beta.bin</t>
  </si>
  <si>
    <t>D:\Data\Document\ProductsLibrary\C线产品资料库\KB06006\固件\beta\键盘\KB06006_0.0.1.241008_beta\UK\KB06006_UK_0.0.1.241008_beta.bin</t>
  </si>
  <si>
    <t>D:\Data\Document\ProductsLibrary\C线产品资料库\KB06006\固件\beta\键盘\KB06006_0.0.1.241008_beta\US\KB06006_US_0.0.1.241008_beta.bin</t>
  </si>
  <si>
    <t>KB06006_DE_0.0.2.241015_beta.bin</t>
  </si>
  <si>
    <t>D:\Data\Document\ProductsLibrary\C线产品资料库\KB06006\固件\beta\键盘\KB06006_0.0.2.241015_beta\DE\KB06006_DE_0.0.2.241015_beta.bin</t>
  </si>
  <si>
    <t>KB06006_UK_0.0.2.241015_beta.bin</t>
  </si>
  <si>
    <t>D:\Data\Document\ProductsLibrary\C线产品资料库\KB06006\固件\beta\键盘\KB06006_0.0.2.241015_beta\UK\KB06006_UK_0.0.2.241015_beta.bin</t>
  </si>
  <si>
    <t>KB06006_US_0.0.2.241015_beta.bin</t>
  </si>
  <si>
    <t>D:\Data\Document\ProductsLibrary\C线产品资料库\KB06006\固件\beta\键盘\KB06006_0.0.2.241015_beta\US\KB06006_US_0.0.2.241015_beta.bin</t>
  </si>
  <si>
    <t>MS06006_ALL_0.0.1.241014_beta.bin</t>
  </si>
  <si>
    <t>MS06006</t>
  </si>
  <si>
    <t>D:\Data\Document\ProductsLibrary\C线产品资料库\KB06006\固件\beta\鼠标\MS06006_0.0.1.241014_beta\ALL\MS06006_ALL_0.0.1.241014_beta.bin</t>
  </si>
  <si>
    <t>KB06007_DE_0.0.1.241114_beta.bin</t>
  </si>
  <si>
    <t>KB06007</t>
  </si>
  <si>
    <t>D:\Data\Document\ProductsLibrary\C线产品资料库\KB06007\固件\beta\KB06007_0.0.1.241114_beta\DE\KB06007_DE_0.0.1.241114_beta.bin</t>
  </si>
  <si>
    <t>KB06007_DE_0.0.2.241118_beta.bin</t>
  </si>
  <si>
    <t>D:\Data\Document\ProductsLibrary\C线产品资料库\KB06007\固件\beta\KB06007_0.0.2.241118_beta\DE\KB06007_DE_0.0.2.241118_beta.bin</t>
  </si>
  <si>
    <t>KB06007_DE_0.0.3.241126_9E02_beta_Open.bin</t>
  </si>
  <si>
    <t>9E02</t>
  </si>
  <si>
    <t>D:\Data\Document\ProductsLibrary\C线产品资料库\KB06007\固件\beta\KB06007_0.0.3.241126_beta\DE\KB06007_DE_0.0.3.241126_9E02_beta_Open.bin</t>
  </si>
  <si>
    <t>KB06007_DE_0.0.3.241126_9F94_beta_Encrypt.bin</t>
  </si>
  <si>
    <t>9F94</t>
  </si>
  <si>
    <t>D:\Data\Document\ProductsLibrary\C线产品资料库\KB06007\固件\beta\KB06007_0.0.3.241126_beta\DE\KB06007_DE_0.0.3.241126_9F94_beta_Encrypt.bin</t>
  </si>
  <si>
    <t>KB06007_DE_0.0.4.241127_9C1E_beta_Open.bin</t>
  </si>
  <si>
    <t>9C1E</t>
  </si>
  <si>
    <t>D:\Data\Document\ProductsLibrary\C线产品资料库\KB06007\固件\beta\KB06007_0.0.4.241127_beta\DE\KB06007_DE_0.0.4.241127_9C1E_beta_Open.bin</t>
  </si>
  <si>
    <t>KB06007_DE_0.0.4.241127_9FBC_beta_Encrypt.bin</t>
  </si>
  <si>
    <t>9FBC</t>
  </si>
  <si>
    <t>D:\Data\Document\ProductsLibrary\C线产品资料库\KB06007\固件\beta\KB06007_0.0.4.241127_beta\DE\KB06007_DE_0.0.4.241127_9FBC_beta_Encrypt.bin</t>
  </si>
  <si>
    <t>KB06007_DE_0.0.5.241129_AE64_beta_Open.bin</t>
  </si>
  <si>
    <t>AE64</t>
  </si>
  <si>
    <t>D:\Data\Document\ProductsLibrary\C线产品资料库\KB06007\固件\beta\KB06007_0.0.5.241129_beta\DE\KB06007_DE_0.0.5.241129_AE64_beta_Open.bin</t>
  </si>
  <si>
    <t>KB06007_DE_0.0.5.241129_B1FB_beta_Encrypt.bin</t>
  </si>
  <si>
    <t>B1FB</t>
  </si>
  <si>
    <t>D:\Data\Document\ProductsLibrary\C线产品资料库\KB06007\固件\beta\KB06007_0.0.5.241129_beta\DE\KB06007_DE_0.0.5.241129_B1FB_beta_Encrypt.bin</t>
  </si>
  <si>
    <t>KB06007_DE_0.0.6.250102_56AC_beta_Open.bin</t>
  </si>
  <si>
    <t>56AC</t>
  </si>
  <si>
    <t>D:\Data\Document\ProductsLibrary\C线产品资料库\KB06007\固件\beta\KB06007_0.0.6.250102_beta\DE\KB06007_DE_0.0.6.250102_56AC_beta_Open.bin</t>
  </si>
  <si>
    <t>KB06007_DE_0.0.6.250102_56AC_release_Open.bin</t>
  </si>
  <si>
    <t>D:\Data\Document\ProductsLibrary\C线产品资料库\KB06007\固件\release\KB06007_0.0.6.250102_release\DE\KB06007_DE_0.0.6.250102_56AC_release_Open.bin</t>
  </si>
  <si>
    <t>KB06101_DE_0.2.20.240925_beta.bin</t>
  </si>
  <si>
    <t>KB06101</t>
  </si>
  <si>
    <t>0.2.20</t>
  </si>
  <si>
    <t>D:\Data\Document\ProductsLibrary\C线产品资料库\KB06101\beta固件\KB06101_0.2.20.240925_beta\DE\KB06101_DE_0.2.20.240925_beta.bin</t>
  </si>
  <si>
    <t>KB06101_UK_0.2.20.240925_beta.bin</t>
  </si>
  <si>
    <t>D:\Data\Document\ProductsLibrary\C线产品资料库\KB06101\beta固件\KB06101_0.2.20.240925_beta\UK\KB06101_UK_0.2.20.240925_beta.bin</t>
  </si>
  <si>
    <t>KB06101_US_0.2.20.240925_beta.bin</t>
  </si>
  <si>
    <t>D:\Data\Document\ProductsLibrary\C线产品资料库\KB06101\beta固件\KB06101_0.2.20.240925_beta\US\KB06101_US_0.2.20.240925_beta.bin</t>
  </si>
  <si>
    <t>KB06101_DE_0.2.20.240926_beta.bin</t>
  </si>
  <si>
    <t>D:\Data\Document\ProductsLibrary\C线产品资料库\KB06101\beta固件\KB06101_0.2.20.240926_beta\DE\KB06101_DE_0.2.20.240926_beta.bin</t>
  </si>
  <si>
    <t>KB06101_UK_0.2.20.240926_beta.bin</t>
  </si>
  <si>
    <t>D:\Data\Document\ProductsLibrary\C线产品资料库\KB06101\beta固件\KB06101_0.2.20.240926_beta\UK\KB06101_UK_0.2.20.240926_beta.bin</t>
  </si>
  <si>
    <t>KB06101_US_0.2.20.240926_beta.bin</t>
  </si>
  <si>
    <t>D:\Data\Document\ProductsLibrary\C线产品资料库\KB06101\beta固件\KB06101_0.2.20.240926_beta\US\KB06101_US_0.2.20.240926_beta.bin</t>
  </si>
  <si>
    <t>KB06101_DE_0.2.24.241210_6368_beta_Open.bin</t>
  </si>
  <si>
    <t>0.2.24</t>
  </si>
  <si>
    <t>D:\Data\Document\ProductsLibrary\C线产品资料库\KB06101\beta固件\KB06101_0.2.24.241210_beta\DE\KB06101_DE_0.2.24.241210_6368_beta_Open.bin</t>
  </si>
  <si>
    <t>KB06101_UK_0.2.24.241210_4739_beta_Open.bin</t>
  </si>
  <si>
    <t>D:\Data\Document\ProductsLibrary\C线产品资料库\KB06101\beta固件\KB06101_0.2.24.241210_beta\UK\KB06101_UK_0.2.24.241210_4739_beta_Open.bin</t>
  </si>
  <si>
    <t>KB06101_US_0.2.24.241210_3775_beta_Open.bin</t>
  </si>
  <si>
    <t>D:\Data\Document\ProductsLibrary\C线产品资料库\KB06101\beta固件\KB06101_0.2.24.241210_beta\US\KB06101_US_0.2.24.241210_3775_beta_Open.bin</t>
  </si>
  <si>
    <t>KB06101_DE_0.2.25.241213_6770_beta_Open.bin</t>
  </si>
  <si>
    <t>0.2.25</t>
  </si>
  <si>
    <t>D:\Data\Document\ProductsLibrary\C线产品资料库\KB06101\beta固件\KB06101_0.2.25.241213_beta\DE\KB06101_DE_0.2.25.241213_6770_beta_Open.bin</t>
  </si>
  <si>
    <t>KB06101_UK_0.2.25.241213_4E42_beta_Open.bin</t>
  </si>
  <si>
    <t>4E42</t>
  </si>
  <si>
    <t>D:\Data\Document\ProductsLibrary\C线产品资料库\KB06101\beta固件\KB06101_0.2.25.241213_beta\UK\KB06101_UK_0.2.25.241213_4E42_beta_Open.bin</t>
  </si>
  <si>
    <t>KB06101_US_0.2.25.241213_35B4_beta_Open.bin</t>
  </si>
  <si>
    <t>35B4</t>
  </si>
  <si>
    <t>D:\Data\Document\ProductsLibrary\C线产品资料库\KB06101\beta固件\KB06101_0.2.25.241213_beta\US\KB06101_US_0.2.25.241213_35B4_beta_Open.bin</t>
  </si>
  <si>
    <t>KB06101_DE_0.2.26.250903_30FA_release_Open.bin</t>
  </si>
  <si>
    <t>0.2.26</t>
  </si>
  <si>
    <t>30FA</t>
  </si>
  <si>
    <t>D:\Data\Document\ProductsLibrary\C线产品资料库\KB06101\release固件\KB06101_0.2.26.250903_release\DE\KB06101_DE_0.2.26.250903_30FA_release_Open.bin</t>
  </si>
  <si>
    <t>KB06101_JP_0.2.26.250903_2D2_release_Open.bin</t>
  </si>
  <si>
    <t>2D2</t>
  </si>
  <si>
    <t>D:\Data\Document\ProductsLibrary\C线产品资料库\KB06101\release固件\KB06101_0.2.26.250903_release\JP\KB06101_JP_0.2.26.250903_2D2_release_Open.bin</t>
  </si>
  <si>
    <t>KB06101_UK_0.2.26.250903_157D_release_Open.bin</t>
  </si>
  <si>
    <t>157D</t>
  </si>
  <si>
    <t>D:\Data\Document\ProductsLibrary\C线产品资料库\KB06101\release固件\KB06101_0.2.26.250903_release\UK\KB06101_UK_0.2.26.250903_157D_release_Open.bin</t>
  </si>
  <si>
    <t>KB06101_US_0.2.26.250903_39D_release_Open.bin</t>
  </si>
  <si>
    <t>39D</t>
  </si>
  <si>
    <t>D:\Data\Document\ProductsLibrary\C线产品资料库\KB06101\release固件\KB06101_0.2.26.250903_release\US\KB06101_US_0.2.26.250903_39D_release_Open.bin</t>
  </si>
  <si>
    <t>KB06101_DE_0.2.18.240911_release.bin</t>
  </si>
  <si>
    <t>0.2.18</t>
  </si>
  <si>
    <t>D:\Data\Document\ProductsLibrary\C线产品资料库\KB06101\量产固件\KB06101_0.2.18.240911_release\DE\KB06101_DE_0.2.18.240911_release.bin</t>
  </si>
  <si>
    <t>KB06101_DE_0.2.18.240911_release_Encrypt.bin</t>
  </si>
  <si>
    <t>D:\Data\Document\ProductsLibrary\C线产品资料库\KB06101\量产固件\KB06101_0.2.18.240911_release\DE\KB06101_DE_0.2.18.240911_release_Encrypt.bin</t>
  </si>
  <si>
    <t>KB06101_UK_0.2.18.240911_release.bin</t>
  </si>
  <si>
    <t>D:\Data\Document\ProductsLibrary\C线产品资料库\KB06101\量产固件\KB06101_0.2.18.240911_release\UK\KB06101_UK_0.2.18.240911_release.bin</t>
  </si>
  <si>
    <t>KB06101_UK_0.2.18.240911_release_Encrypt.bin</t>
  </si>
  <si>
    <t>D:\Data\Document\ProductsLibrary\C线产品资料库\KB06101\量产固件\KB06101_0.2.18.240911_release\UK\KB06101_UK_0.2.18.240911_release_Encrypt.bin</t>
  </si>
  <si>
    <t>KB06101_US_0.2.18.240911_release.bin</t>
  </si>
  <si>
    <t>D:\Data\Document\ProductsLibrary\C线产品资料库\KB06101\量产固件\KB06101_0.2.18.240911_release\US\KB06101_US_0.2.18.240911_release.bin</t>
  </si>
  <si>
    <t>KB06101_US_0.2.18.240911_release_Encrypt.bin</t>
  </si>
  <si>
    <t>D:\Data\Document\ProductsLibrary\C线产品资料库\KB06101\量产固件\KB06101_0.2.18.240911_release\US\KB06101_US_0.2.18.240911_release_Encrypt.bin</t>
  </si>
  <si>
    <t>KB06101_DE_0.2.20.240926_release.bin</t>
  </si>
  <si>
    <t>D:\Data\Document\ProductsLibrary\C线产品资料库\KB06101\量产固件\KB06101_0.2.20.240926_release\DE\KB06101_DE_0.2.20.240926_release.bin</t>
  </si>
  <si>
    <t>KB06101_UK_0.2.20.240926_release.bin</t>
  </si>
  <si>
    <t>D:\Data\Document\ProductsLibrary\C线产品资料库\KB06101\量产固件\KB06101_0.2.20.240926_release\UK\KB06101_UK_0.2.20.240926_release.bin</t>
  </si>
  <si>
    <t>KB06101_US_0.2.20.240926_release.bin</t>
  </si>
  <si>
    <t>D:\Data\Document\ProductsLibrary\C线产品资料库\KB06101\量产固件\KB06101_0.2.20.240926_release\US\KB06101_US_0.2.20.240926_release.bin</t>
  </si>
  <si>
    <t>KB06101_DE_0.2.25.241213_6770_release_Open.bin</t>
  </si>
  <si>
    <t>D:\Data\Document\ProductsLibrary\C线产品资料库\KB06101\量产固件\KB06101_0.2.25.241213_release\DE\KB06101_DE_0.2.25.241213_6770_release_Open.bin</t>
  </si>
  <si>
    <t>KB06101_UK_0.2.25.241213_4E42_release_Open.bin</t>
  </si>
  <si>
    <t>D:\Data\Document\ProductsLibrary\C线产品资料库\KB06101\量产固件\KB06101_0.2.25.241213_release\UK\KB06101_UK_0.2.25.241213_4E42_release_Open.bin</t>
  </si>
  <si>
    <t>KB06101_US_0.2.25.241213_35B4_release_Open.bin</t>
  </si>
  <si>
    <t>D:\Data\Document\ProductsLibrary\C线产品资料库\KB06101\量产固件\KB06101_0.2.25.241213_release\US\KB06101_US_0.2.25.241213_35B4_release_Open.bin</t>
  </si>
  <si>
    <t>D:\Data\Document\ProductsLibrary\C线产品资料库\KB06103\固件\beta\KB06103_0.0.24.241016_beta\DE\KB06103_DE_0.0.24.241016_beta.bin</t>
  </si>
  <si>
    <t>D:\Data\Document\ProductsLibrary\C线产品资料库\KB06103\固件\beta\KB06103_0.0.24.241016_beta\US\KB06103_US_0.0.24.241016_beta.bin</t>
  </si>
  <si>
    <t>D:\Data\Document\ProductsLibrary\C线产品资料库\KB06103\固件\beta\KB06103_0.1.25.241021_beta\DE\KB06103_DE_0.1.25.241021_beta.bin</t>
  </si>
  <si>
    <t>D:\Data\Document\ProductsLibrary\C线产品资料库\KB06103\固件\beta\KB06103_0.1.25.241021_beta\US\KB06103_US_0.1.25.241021_beta.bin</t>
  </si>
  <si>
    <t>D:\Data\Document\ProductsLibrary\C线产品资料库\KB06103\固件\beta\KB06103_0.1.27.241022_beta\DE\KB06103_DE_0.1.27.241022_beta.bin</t>
  </si>
  <si>
    <t>D:\Data\Document\ProductsLibrary\C线产品资料库\KB06103\固件\beta\KB06103_0.1.27.241022_beta\US\KB06103_US_0.1.27.241022_beta.bin</t>
  </si>
  <si>
    <t>D:\Data\Document\ProductsLibrary\C线产品资料库\KB06103\固件\beta\KB06103_0.1.31.241213_beta\DE\KB06103_DE_0.1.31.241213_8DF4_beta_Open.bin</t>
  </si>
  <si>
    <t>D:\Data\Document\ProductsLibrary\C线产品资料库\KB06103\固件\beta\KB06103_0.1.31.241213_beta\US\KB06103_US_0.1.31.241213_1FAE_beta_Open.bin</t>
  </si>
  <si>
    <t>D:\Data\Document\ProductsLibrary\C线产品资料库\KB06103\固件\beta\KB06103_0.1.32.241218_beta\DE\KB06103_DE_0.1.32.241218_8B4E_beta_Open.bin</t>
  </si>
  <si>
    <t>D:\Data\Document\ProductsLibrary\C线产品资料库\KB06103\固件\beta\KB06103_0.1.32.241218_beta\US\KB06103_US_0.1.32.241218_2992_beta_Open.bin</t>
  </si>
  <si>
    <t>D:\Data\Document\ProductsLibrary\C线产品资料库\KB06103\固件\beta\KB06103_0.1.37.250115_beta\DE\KB06103_DE_0.1.37.250115_D055_beta_Open.bin</t>
  </si>
  <si>
    <t>D:\Data\Document\ProductsLibrary\C线产品资料库\KB06103\固件\beta\KB06103_0.1.37.250115_beta\US\KB06103_US_0.1.37.250115_89F4_beta_Open.bin</t>
  </si>
  <si>
    <t>D:\Data\Document\ProductsLibrary\C线产品资料库\KB06103\固件\beta\KB06103_0.1.38.250121_beta\DE\KB06103_DE_0.1.38.250121_CDD7_beta_Open.bin</t>
  </si>
  <si>
    <t>D:\Data\Document\ProductsLibrary\C线产品资料库\KB06103\固件\beta\KB06103_0.1.38.250121_beta\US\KB06103_US_0.1.38.250121_864D_beta_Open.bin</t>
  </si>
  <si>
    <t>D:\Data\Document\ProductsLibrary\C线产品资料库\KB06103\固件\beta\KB06103_0.1.39.250124_beta\DE\KB06103_DE_0.1.39.250124_D426_beta_Open.bin</t>
  </si>
  <si>
    <t>D:\Data\Document\ProductsLibrary\C线产品资料库\KB06103\固件\beta\KB06103_0.1.39.250124_beta\US\KB06103_US_0.1.39.250124_9714_beta_Open.bin</t>
  </si>
  <si>
    <t>D:\Data\Document\ProductsLibrary\C线产品资料库\KB06103\固件\beta\KB06103_0.1.40.250208_beta\DE\KB06103_DE_0.1.40.250208_F2EE_beta_Open.bin</t>
  </si>
  <si>
    <t>D:\Data\Document\ProductsLibrary\C线产品资料库\KB06103\固件\beta\KB06103_0.1.40.250208_beta\US\KB06103_US_0.1.40.250208_B6AE_beta_Open.bin</t>
  </si>
  <si>
    <t>D:\Data\Document\ProductsLibrary\C线产品资料库\KB06103\固件\release\KB06103_0.1.30.241203_release\DE\KB06103_DE_0.1.30.241203_10D6_release_Encrypt.bin</t>
  </si>
  <si>
    <t>D:\Data\Document\ProductsLibrary\C线产品资料库\KB06103\固件\release\KB06103_0.1.30.241203_release\DE\KB06103_DE_0.1.30.241203_3313_release_Open.bin</t>
  </si>
  <si>
    <t>D:\Data\Document\ProductsLibrary\C线产品资料库\KB06103\固件\release\KB06103_0.1.30.241203_release\US\KB06103_US_0.1.30.241203_DDD5_release_Encrypt.bin</t>
  </si>
  <si>
    <t>D:\Data\Document\ProductsLibrary\C线产品资料库\KB06103\固件\release\KB06103_0.1.30.241203_release\US\KB06103_US_0.1.30.241203_FD37_release_Open.bin</t>
  </si>
  <si>
    <t>D:\Data\Document\ProductsLibrary\C线产品资料库\KB06103\固件\release\KB06103_0.1.32.241218_release\DE\KB06103_DE_0.1.32.241218_8B4E_release_Open.bin</t>
  </si>
  <si>
    <t>D:\Data\Document\ProductsLibrary\C线产品资料库\KB06103\固件\release\KB06103_0.1.32.241218_release\US\KB06103_US_0.1.32.241218_2992_release_Open.bin</t>
  </si>
  <si>
    <t>D:\Data\Document\ProductsLibrary\C线产品资料库\KB06103\固件\release\KB06103_0.1.40.250208_release\DE\KB06103_DE_0.1.40.250208_F2EE_release_Open.bin</t>
  </si>
  <si>
    <t>D:\Data\Document\ProductsLibrary\C线产品资料库\KB06103\固件\release\KB06103_0.1.40.250208_release\US\KB06103_US_0.1.40.250208_B6AE_release_Open.bin</t>
  </si>
  <si>
    <t>NeoMagic_SE_UK_IT_0.2.1.250714_E267_release_Open.bin</t>
  </si>
  <si>
    <t>E267</t>
  </si>
  <si>
    <t>D:\Data\Document\ProductsLibrary\C线产品资料库\KB09119\固件\NeoMagic_SE_0.2.1.250714_release\UK_IT\NeoMagic_SE_UK_IT_0.2.1.250714_E267_release_Open.bin</t>
  </si>
  <si>
    <t>NeoMagic_SE_DE_0.2.2.250730_E5EA_beta_Open.bin</t>
  </si>
  <si>
    <t>E5EA</t>
  </si>
  <si>
    <t>D:\Data\Document\ProductsLibrary\C线产品资料库\KB09119\固件\NeoMagic_SE_0.2.2.250730_beta\DE\NeoMagic_SE_DE_0.2.2.250730_E5EA_beta_Open.bin</t>
  </si>
  <si>
    <t>NeoMagic_SE_FR_0.2.2.250730_29A6_beta_Open.bin</t>
  </si>
  <si>
    <t>29A6</t>
  </si>
  <si>
    <t>D:\Data\Document\ProductsLibrary\C线产品资料库\KB09119\固件\NeoMagic_SE_0.2.2.250730_beta\FR\NeoMagic_SE_FR_0.2.2.250730_29A6_beta_Open.bin</t>
  </si>
  <si>
    <t>NeoMagic_SE_JP_0.2.2.250730_E3F0_beta_Open.bin</t>
  </si>
  <si>
    <t>E3F0</t>
  </si>
  <si>
    <t>D:\Data\Document\ProductsLibrary\C线产品资料库\KB09119\固件\NeoMagic_SE_0.2.2.250730_beta\JP\NeoMagic_SE_JP_0.2.2.250730_E3F0_beta_Open.bin</t>
  </si>
  <si>
    <t>NeoMagic_SE_UK_IT_0.2.2.250730_E8BC_beta_Open.bin</t>
  </si>
  <si>
    <t>E8BC</t>
  </si>
  <si>
    <t>D:\Data\Document\ProductsLibrary\C线产品资料库\KB09119\固件\NeoMagic_SE_0.2.2.250730_beta\UK_IT\NeoMagic_SE_UK_IT_0.2.2.250730_E8BC_beta_Open.bin</t>
  </si>
  <si>
    <t>NeoMagic_SE_US_0.2.2.250730_E50E_beta_Open.bin</t>
  </si>
  <si>
    <t>E50E</t>
  </si>
  <si>
    <t>D:\Data\Document\ProductsLibrary\C线产品资料库\KB09119\固件\NeoMagic_SE_0.2.2.250730_beta\US\NeoMagic_SE_US_0.2.2.250730_E50E_beta_Open.bin</t>
  </si>
  <si>
    <t>NeoMagic_SE_DE_0.2.3.250826_E498_release_Open.bin</t>
  </si>
  <si>
    <t>0.2.3</t>
  </si>
  <si>
    <t>E498</t>
  </si>
  <si>
    <t>D:\Data\Document\ProductsLibrary\C线产品资料库\KB09119\固件\NeoMagic_SE_0.2.3.250826_release\DE\NeoMagic_SE_DE_0.2.3.250826_E498_release_Open.bin</t>
  </si>
  <si>
    <t>NeoMagic_SE_FR_0.2.3.250826_1804_release_Open.bin</t>
  </si>
  <si>
    <t>D:\Data\Document\ProductsLibrary\C线产品资料库\KB09119\固件\NeoMagic_SE_0.2.3.250826_release\FR\NeoMagic_SE_FR_0.2.3.250826_1804_release_Open.bin</t>
  </si>
  <si>
    <t>NeoMagic_SE_JP_0.2.3.250826_E295_release_Open.bin</t>
  </si>
  <si>
    <t>E295</t>
  </si>
  <si>
    <t>D:\Data\Document\ProductsLibrary\C线产品资料库\KB09119\固件\NeoMagic_SE_0.2.3.250826_release\JP\NeoMagic_SE_JP_0.2.3.250826_E295_release_Open.bin</t>
  </si>
  <si>
    <t>NeoMagic_SE_UK_IT_0.2.3.250826_E7A9_release_Open.bin</t>
  </si>
  <si>
    <t>E7A9</t>
  </si>
  <si>
    <t>D:\Data\Document\ProductsLibrary\C线产品资料库\KB09119\固件\NeoMagic_SE_0.2.3.250826_release\UK_IT\NeoMagic_SE_UK_IT_0.2.3.250826_E7A9_release_Open.bin</t>
  </si>
  <si>
    <t>NeoMagic_SE_US_0.2.3.250826_E3BC_release_Open.bin</t>
  </si>
  <si>
    <t>E3BC</t>
  </si>
  <si>
    <t>D:\Data\Document\ProductsLibrary\C线产品资料库\KB09119\固件\NeoMagic_SE_0.2.3.250826_release\US\NeoMagic_SE_US_0.2.3.250826_E3BC_release_Open.bin</t>
  </si>
  <si>
    <t>KB09119_11_DE_0.0.18.240725_release.bin</t>
  </si>
  <si>
    <t>KB09119_11</t>
  </si>
  <si>
    <t>D:\Data\Document\ProductsLibrary\C线产品资料库\KB09119_11_black\固件释放\KB09119_11_DE_0.0.18.240725_release.bin</t>
  </si>
  <si>
    <t>KB09119_11_UK_0.0.18.240725_release.bin</t>
  </si>
  <si>
    <t>D:\Data\Document\ProductsLibrary\C线产品资料库\KB09119_11_black\固件释放\KB09119_11_UK_0.0.18.240725_release.bin</t>
  </si>
  <si>
    <t>KB09119_11_US_0.0.18.240725_release.bin</t>
  </si>
  <si>
    <t>D:\Data\Document\ProductsLibrary\C线产品资料库\KB09119_11_black\固件释放\KB09119_11_US_0.0.18.240725_release.bin</t>
  </si>
  <si>
    <t>KB105_DE_0.0.21.250616_693C_beta_Open.bin</t>
  </si>
  <si>
    <t>KB105</t>
  </si>
  <si>
    <t>0.0.21</t>
  </si>
  <si>
    <t>693C</t>
  </si>
  <si>
    <t>D:\Data\Document\ProductsLibrary\C线产品资料库\KB105_gray\固件\beta\KB105_0.0.21.250616_beta\DE\KB105_DE_0.0.21.250616_693C_beta_Open.bin</t>
  </si>
  <si>
    <t>KB105_UK_0.0.21.250616_590E_beta_Open.bin</t>
  </si>
  <si>
    <t>590E</t>
  </si>
  <si>
    <t>D:\Data\Document\ProductsLibrary\C线产品资料库\KB105_gray\固件\beta\KB105_0.0.21.250616_beta\UK\KB105_UK_0.0.21.250616_590E_beta_Open.bin</t>
  </si>
  <si>
    <t>KB105_US_0.0.21.250616_6C8_beta_Open.bin</t>
  </si>
  <si>
    <t>6C8</t>
  </si>
  <si>
    <t>D:\Data\Document\ProductsLibrary\C线产品资料库\KB105_gray\固件\beta\KB105_0.0.21.250616_beta\US\KB105_US_0.0.21.250616_6C8_beta_Open.bin</t>
  </si>
  <si>
    <t>KB105_DE_0.0.21.250619_2ACA_beta_Open.bin</t>
  </si>
  <si>
    <t>2ACA</t>
  </si>
  <si>
    <t>D:\Data\Document\ProductsLibrary\C线产品资料库\KB105_gray\固件\beta\KB105_0.0.21.250619_beta\DE\KB105_DE_0.0.21.250619_2ACA_beta_Open.bin</t>
  </si>
  <si>
    <t>KB105_UK_0.0.21.250619_14AC_beta_Open.bin</t>
  </si>
  <si>
    <t>14AC</t>
  </si>
  <si>
    <t>D:\Data\Document\ProductsLibrary\C线产品资料库\KB105_gray\固件\beta\KB105_0.0.21.250619_beta\UK\KB105_UK_0.0.21.250619_14AC_beta_Open.bin</t>
  </si>
  <si>
    <t>KB105_US_0.0.21.250619_BA7C_beta_Open.bin</t>
  </si>
  <si>
    <t>BA7C</t>
  </si>
  <si>
    <t>D:\Data\Document\ProductsLibrary\C线产品资料库\KB105_gray\固件\beta\KB105_0.0.21.250619_beta\US\KB105_US_0.0.21.250619_BA7C_beta_Open.bin</t>
  </si>
  <si>
    <t>KB105_DE_0.0.22.250624_B18B_beta_Open.bin</t>
  </si>
  <si>
    <t>0.0.22</t>
  </si>
  <si>
    <t>B18B</t>
  </si>
  <si>
    <t>D:\Data\Document\ProductsLibrary\C线产品资料库\KB105_gray\固件\beta\KB105_0.0.22.250624_beta\DE\KB105_DE_0.0.22.250624_B18B_beta_Open.bin</t>
  </si>
  <si>
    <t>KB105_UK_0.0.22.250624_B1E7_beta_Open.bin</t>
  </si>
  <si>
    <t>B1E7</t>
  </si>
  <si>
    <t>D:\Data\Document\ProductsLibrary\C线产品资料库\KB105_gray\固件\beta\KB105_0.0.22.250624_beta\UK\KB105_UK_0.0.22.250624_B1E7_beta_Open.bin</t>
  </si>
  <si>
    <t>KB105_US_0.0.22.250624_181D_beta_Open.bin</t>
  </si>
  <si>
    <t>181D</t>
  </si>
  <si>
    <t>D:\Data\Document\ProductsLibrary\C线产品资料库\KB105_gray\固件\beta\KB105_0.0.22.250624_beta\US\KB105_US_0.0.22.250624_181D_beta_Open.bin</t>
  </si>
  <si>
    <t>KB105_DE_0.0.23.250704_5905_beta_Open.bin</t>
  </si>
  <si>
    <t>0.0.23</t>
  </si>
  <si>
    <t>D:\Data\Document\ProductsLibrary\C线产品资料库\KB105_gray\固件\beta\KB105_0.0.23.250704_beta\DE\KB105_DE_0.0.23.250704_5905_beta_Open.bin</t>
  </si>
  <si>
    <t>KB105_UK_0.0.23.250704_2EE4_beta_Open.bin</t>
  </si>
  <si>
    <t>2EE4</t>
  </si>
  <si>
    <t>D:\Data\Document\ProductsLibrary\C线产品资料库\KB105_gray\固件\beta\KB105_0.0.23.250704_beta\UK\KB105_UK_0.0.23.250704_2EE4_beta_Open.bin</t>
  </si>
  <si>
    <t>KB105_US_0.0.23.250704_E5BB_beta_Open.bin</t>
  </si>
  <si>
    <t>E5BB</t>
  </si>
  <si>
    <t>D:\Data\Document\ProductsLibrary\C线产品资料库\KB105_gray\固件\beta\KB105_0.0.23.250704_beta\US\KB105_US_0.0.23.250704_E5BB_beta_Open.bin</t>
  </si>
  <si>
    <t>KB105_DE_0.0.23.250708_5A36_beta_Open.bin</t>
  </si>
  <si>
    <t>5A36</t>
  </si>
  <si>
    <t>D:\Data\Document\ProductsLibrary\C线产品资料库\KB105_gray\固件\beta\KB105_0.0.23.250708_beta\DE\KB105_DE_0.0.23.250708_5A36_beta_Open.bin</t>
  </si>
  <si>
    <t>KB105_UK_0.0.23.250708_3015_beta_Open.bin</t>
  </si>
  <si>
    <t>D:\Data\Document\ProductsLibrary\C线产品资料库\KB105_gray\固件\beta\KB105_0.0.23.250708_beta\UK\KB105_UK_0.0.23.250708_3015_beta_Open.bin</t>
  </si>
  <si>
    <t>KB105_US_0.0.23.250708_E6EC_beta_Open.bin</t>
  </si>
  <si>
    <t>E6EC</t>
  </si>
  <si>
    <t>D:\Data\Document\ProductsLibrary\C线产品资料库\KB105_gray\固件\beta\KB105_0.0.23.250708_beta\US\KB105_US_0.0.23.250708_E6EC_beta_Open.bin</t>
  </si>
  <si>
    <t>KB105_DE_0.0.23.250819_9C4C_beta_Open.bin</t>
  </si>
  <si>
    <t>9C4C</t>
  </si>
  <si>
    <t>D:\Data\Document\ProductsLibrary\C线产品资料库\KB105_gray\固件\beta\KB105_0.0.23.250819_beta\DE\KB105_DE_0.0.23.250819_9C4C_beta_Open.bin</t>
  </si>
  <si>
    <t>KB105_DE_0.0.24.250820_96EC_beta_Open.bin</t>
  </si>
  <si>
    <t>96EC</t>
  </si>
  <si>
    <t>D:\Data\Document\ProductsLibrary\C线产品资料库\KB105_gray\固件\beta\KB105_0.0.24.250820_beta\DE\KB105_DE_0.0.24.250820_96EC_beta_Open.bin</t>
  </si>
  <si>
    <t>KB403_11A_DE_0.0.3.250512_3ACF_beta_Open.bin</t>
  </si>
  <si>
    <t>KB403_11A</t>
  </si>
  <si>
    <t>3ACF</t>
  </si>
  <si>
    <t>D:\Data\Document\ProductsLibrary\C线产品资料库\KB403-11A_black\固件\beta\KB403_11A_0.0.3.250512_beta\DE\KB403_11A_DE_0.0.3.250512_3ACF_beta_Open.bin</t>
  </si>
  <si>
    <t>KB403_11A_JP_0.0.3.250512_2106_beta_Open.bin</t>
  </si>
  <si>
    <t>D:\Data\Document\ProductsLibrary\C线产品资料库\KB403-11A_black\固件\beta\KB403_11A_0.0.3.250512_beta\JP\KB403_11A_JP_0.0.3.250512_2106_beta_Open.bin</t>
  </si>
  <si>
    <t>KB403_11A_UK_0.0.3.250512_3B08_beta_Open.bin</t>
  </si>
  <si>
    <t>3B08</t>
  </si>
  <si>
    <t>D:\Data\Document\ProductsLibrary\C线产品资料库\KB403-11A_black\固件\beta\KB403_11A_0.0.3.250512_beta\UK\KB403_11A_UK_0.0.3.250512_3B08_beta_Open.bin</t>
  </si>
  <si>
    <t>KB403_11A_US_0.0.3.250512_23CD_beta_Open.bin</t>
  </si>
  <si>
    <t>23CD</t>
  </si>
  <si>
    <t>D:\Data\Document\ProductsLibrary\C线产品资料库\KB403-11A_black\固件\beta\KB403_11A_0.0.3.250512_beta\US\KB403_11A_US_0.0.3.250512_23CD_beta_Open.bin</t>
  </si>
  <si>
    <t>KB403_11A_DE_0.1.5.250523_478_beta_Open.bin</t>
  </si>
  <si>
    <t>D:\Data\Document\ProductsLibrary\C线产品资料库\KB403-11A_black\固件\beta\KB403_11A_0.1.5.250523_beta\DE\KB403_11A_DE_0.1.5.250523_478_beta_Open.bin</t>
  </si>
  <si>
    <t>KB403_11A_JP_0.1.5.250523_A898_beta_Open.bin</t>
  </si>
  <si>
    <t>A898</t>
  </si>
  <si>
    <t>D:\Data\Document\ProductsLibrary\C线产品资料库\KB403-11A_black\固件\beta\KB403_11A_0.1.5.250523_beta\JP\KB403_11A_JP_0.1.5.250523_A898_beta_Open.bin</t>
  </si>
  <si>
    <t>KB403_11A_UK_0.1.5.250523_4B1_beta_Open.bin</t>
  </si>
  <si>
    <t>4B1</t>
  </si>
  <si>
    <t>D:\Data\Document\ProductsLibrary\C线产品资料库\KB403-11A_black\固件\beta\KB403_11A_0.1.5.250523_beta\UK\KB403_11A_UK_0.1.5.250523_4B1_beta_Open.bin</t>
  </si>
  <si>
    <t>KB403_11A_US_0.1.5.250523_AA3D_beta_Open.bin</t>
  </si>
  <si>
    <t>AA3D</t>
  </si>
  <si>
    <t>D:\Data\Document\ProductsLibrary\C线产品资料库\KB403-11A_black\固件\beta\KB403_11A_0.1.5.250523_beta\US\KB403_11A_US_0.1.5.250523_AA3D_beta_Open.bin</t>
  </si>
  <si>
    <t>KB403_11A_DE_0.1.6.250526_1FD3_beta_Open.bin</t>
  </si>
  <si>
    <t>1FD3</t>
  </si>
  <si>
    <t>D:\Data\Document\ProductsLibrary\C线产品资料库\KB403-11A_black\固件\beta\KB403_11A_0.1.6.250526_beta\DE\KB403_11A_DE_0.1.6.250526_1FD3_beta_Open.bin</t>
  </si>
  <si>
    <t>KB403_11A_JP_0.1.6.250526_C2C4_beta_Open.bin</t>
  </si>
  <si>
    <t>C2C4</t>
  </si>
  <si>
    <t>D:\Data\Document\ProductsLibrary\C线产品资料库\KB403-11A_black\固件\beta\KB403_11A_0.1.6.250526_beta\JP\KB403_11A_JP_0.1.6.250526_C2C4_beta_Open.bin</t>
  </si>
  <si>
    <t>KB403_11A_UK_0.1.6.250526_200C_beta_Open.bin</t>
  </si>
  <si>
    <t>200C</t>
  </si>
  <si>
    <t>D:\Data\Document\ProductsLibrary\C线产品资料库\KB403-11A_black\固件\beta\KB403_11A_0.1.6.250526_beta\UK\KB403_11A_UK_0.1.6.250526_200C_beta_Open.bin</t>
  </si>
  <si>
    <t>KB403_11A_US_0.1.6.250526_C3A5_beta_Open.bin</t>
  </si>
  <si>
    <t>C3A5</t>
  </si>
  <si>
    <t>D:\Data\Document\ProductsLibrary\C线产品资料库\KB403-11A_black\固件\beta\KB403_11A_0.1.6.250526_beta\US\KB403_11A_US_0.1.6.250526_C3A5_beta_Open.bin</t>
  </si>
  <si>
    <t>KB403_11A_DE_0.2.0.250617_5574_beta_Open.bin</t>
  </si>
  <si>
    <t>0.2.0</t>
  </si>
  <si>
    <t>D:\Data\Document\ProductsLibrary\C线产品资料库\KB403-11A_black\固件\beta\KB403_11A_0.2.0.250617_beta\DE\KB403_11A_DE_0.2.0.250617_5574_beta_Open.bin</t>
  </si>
  <si>
    <t>KB403_11A_JP_0.2.0.250617_2196_beta_Open.bin</t>
  </si>
  <si>
    <t>D:\Data\Document\ProductsLibrary\C线产品资料库\KB403-11A_black\固件\beta\KB403_11A_0.2.0.250617_beta\JP\KB403_11A_JP_0.2.0.250617_2196_beta_Open.bin</t>
  </si>
  <si>
    <t>KB403_11A_UK_0.2.0.250617_55AD_beta_Open.bin</t>
  </si>
  <si>
    <t>55AD</t>
  </si>
  <si>
    <t>D:\Data\Document\ProductsLibrary\C线产品资料库\KB403-11A_black\固件\beta\KB403_11A_0.2.0.250617_beta\UK\KB403_11A_UK_0.2.0.250617_55AD_beta_Open.bin</t>
  </si>
  <si>
    <t>KB403_11A_US_0.2.0.250617_230F_beta_Open.bin</t>
  </si>
  <si>
    <t>230F</t>
  </si>
  <si>
    <t>D:\Data\Document\ProductsLibrary\C线产品资料库\KB403-11A_black\固件\beta\KB403_11A_0.2.0.250617_beta\US\KB403_11A_US_0.2.0.250617_230F_beta_Open.bin</t>
  </si>
  <si>
    <t>KB403_11A_DE_0.2.0.250618_5520_beta_Open.bin</t>
  </si>
  <si>
    <t>D:\Data\Document\ProductsLibrary\C线产品资料库\KB403-11A_black\固件\beta\KB403_11A_0.2.0.250618_beta\DE\KB403_11A_DE_0.2.0.250618_5520_beta_Open.bin</t>
  </si>
  <si>
    <t>KB403_11A_JP_0.2.0.250618_2A03_beta_Open.bin</t>
  </si>
  <si>
    <t>2A03</t>
  </si>
  <si>
    <t>D:\Data\Document\ProductsLibrary\C线产品资料库\KB403-11A_black\固件\beta\KB403_11A_0.2.0.250618_beta\JP\KB403_11A_JP_0.2.0.250618_2A03_beta_Open.bin</t>
  </si>
  <si>
    <t>KB403_11A_UK_0.2.0.250618_5559_beta_Open.bin</t>
  </si>
  <si>
    <t>D:\Data\Document\ProductsLibrary\C线产品资料库\KB403-11A_black\固件\beta\KB403_11A_0.2.0.250618_beta\UK\KB403_11A_UK_0.2.0.250618_5559_beta_Open.bin</t>
  </si>
  <si>
    <t>KB403_11A_US_0.2.0.250618_2B90_beta_Open.bin</t>
  </si>
  <si>
    <t>2B90</t>
  </si>
  <si>
    <t>D:\Data\Document\ProductsLibrary\C线产品资料库\KB403-11A_black\固件\beta\KB403_11A_0.2.0.250618_beta\US\KB403_11A_US_0.2.0.250618_2B90_beta_Open.bin</t>
  </si>
  <si>
    <t>KB403_11A_DE_0.3.0.250630_563D_beta_Open.bin</t>
  </si>
  <si>
    <t>0.3.0</t>
  </si>
  <si>
    <t>563D</t>
  </si>
  <si>
    <t>D:\Data\Document\ProductsLibrary\C线产品资料库\KB403-11A_black\固件\beta\KB403_11A_0.3.0.250630_beta\DE\KB403_11A_DE_0.3.0.250630_563D_beta_Open.bin</t>
  </si>
  <si>
    <t>KB403_11A_JP_0.3.0.250630_2B20_beta_Open.bin</t>
  </si>
  <si>
    <t>2B20</t>
  </si>
  <si>
    <t>D:\Data\Document\ProductsLibrary\C线产品资料库\KB403-11A_black\固件\beta\KB403_11A_0.3.0.250630_beta\JP\KB403_11A_JP_0.3.0.250630_2B20_beta_Open.bin</t>
  </si>
  <si>
    <t>KB403_11A_UK_0.3.0.250630_5676_beta_Open.bin</t>
  </si>
  <si>
    <t>D:\Data\Document\ProductsLibrary\C线产品资料库\KB403-11A_black\固件\beta\KB403_11A_0.3.0.250630_beta\UK\KB403_11A_UK_0.3.0.250630_5676_beta_Open.bin</t>
  </si>
  <si>
    <t>KB403_11A_US_0.3.0.250630_2CAD_beta_Open.bin</t>
  </si>
  <si>
    <t>2CAD</t>
  </si>
  <si>
    <t>D:\Data\Document\ProductsLibrary\C线产品资料库\KB403-11A_black\固件\beta\KB403_11A_0.3.0.250630_beta\US\KB403_11A_US_0.3.0.250630_2CAD_beta_Open.bin</t>
  </si>
  <si>
    <t>KB403_11A_DE_0.4.0.250715_F4FE_beta_Open.bin</t>
  </si>
  <si>
    <t>0.4.0</t>
  </si>
  <si>
    <t>F4FE</t>
  </si>
  <si>
    <t>D:\Data\Document\ProductsLibrary\C线产品资料库\KB403-11A_black\固件\beta\KB403_11A_0.4.0.250715_beta\DE\KB403_11A_DE_0.4.0.250715_F4FE_beta_Open.bin</t>
  </si>
  <si>
    <t>KB403_11A_JP_0.4.0.250715_97B1_beta_Open.bin</t>
  </si>
  <si>
    <t>97B1</t>
  </si>
  <si>
    <t>D:\Data\Document\ProductsLibrary\C线产品资料库\KB403-11A_black\固件\beta\KB403_11A_0.4.0.250715_beta\JP\KB403_11A_JP_0.4.0.250715_97B1_beta_Open.bin</t>
  </si>
  <si>
    <t>KB403_11A_UK_0.4.0.250715_F537_beta_Open.bin</t>
  </si>
  <si>
    <t>F537</t>
  </si>
  <si>
    <t>D:\Data\Document\ProductsLibrary\C线产品资料库\KB403-11A_black\固件\beta\KB403_11A_0.4.0.250715_beta\UK\KB403_11A_UK_0.4.0.250715_F537_beta_Open.bin</t>
  </si>
  <si>
    <t>KB403_11A_US_0.4.0.250715_99BD_beta_Open.bin</t>
  </si>
  <si>
    <t>D:\Data\Document\ProductsLibrary\C线产品资料库\KB403-11A_black\固件\beta\KB403_11A_0.4.0.250715_beta\US\KB403_11A_US_0.4.0.250715_99BD_beta_Open.bin</t>
  </si>
  <si>
    <t>KB403_11A_DE_0.5.12.250911_27B0_release_Open.bin</t>
  </si>
  <si>
    <t>0.5.12</t>
  </si>
  <si>
    <t>27B0</t>
  </si>
  <si>
    <t>D:\Data\Document\ProductsLibrary\C线产品资料库\KB403-11A_black\固件\release\KB403_11A_0.5.12.250911_release\DE\KB403_11A_DE_0.5.12.250911_27B0_release_Open.bin</t>
  </si>
  <si>
    <t>KB403_11A_JP_0.5.12.250911_E5C5_release_Open.bin</t>
  </si>
  <si>
    <t>E5C5</t>
  </si>
  <si>
    <t>D:\Data\Document\ProductsLibrary\C线产品资料库\KB403-11A_black\固件\release\KB403_11A_0.5.12.250911_release\JP\KB403_11A_JP_0.5.12.250911_E5C5_release_Open.bin</t>
  </si>
  <si>
    <t>KB403_11A_UK_0.5.12.250911_27E9_release_Open.bin</t>
  </si>
  <si>
    <t>27E9</t>
  </si>
  <si>
    <t>D:\Data\Document\ProductsLibrary\C线产品资料库\KB403-11A_black\固件\release\KB403_11A_0.5.12.250911_release\UK\KB403_11A_UK_0.5.12.250911_27E9_release_Open.bin</t>
  </si>
  <si>
    <t>KB403_11A_US_0.5.12.250911_E771_release_Open.bin</t>
  </si>
  <si>
    <t>E771</t>
  </si>
  <si>
    <t>D:\Data\Document\ProductsLibrary\C线产品资料库\KB403-11A_black\固件\release\KB403_11A_0.5.12.250911_release\US\KB403_11A_US_0.5.12.250911_E771_release_Open.bin</t>
  </si>
  <si>
    <t>KB405_US_0.0.3.250828_2489_beta_Open.bin</t>
  </si>
  <si>
    <t>KB405</t>
  </si>
  <si>
    <t>D:\Data\Document\ProductsLibrary\C线产品资料库\KB405_gray\固件\beta\KB405_0.0.3.250828_beta\US\KB405_US_0.0.3.250828_2489_beta_Open.bin</t>
  </si>
  <si>
    <t>KB405_US_0.0.9.251218_49F3_release_Open.bin</t>
  </si>
  <si>
    <t>49F3</t>
  </si>
  <si>
    <t>D:\Data\Document\ProductsLibrary\C线产品资料库\KB405_gray\固件\release\KB405_0.0.9.251218_release\US\KB405_US_0.0.9.251218_49F3_release_Open.bin</t>
  </si>
  <si>
    <t>KB602_DE_0.0.1.250415_D7B0_beta_Open.bin</t>
  </si>
  <si>
    <t>KB602</t>
  </si>
  <si>
    <t>D7B0</t>
  </si>
  <si>
    <t>D:\Data\Document\ProductsLibrary\C线产品资料库\KB602_black\固件\KB602_0.0.1.250415_beta\DE\KB602_DE_0.0.1.250415_D7B0_beta_Open.bin</t>
  </si>
  <si>
    <t>KB602_UK_0.0.1.250415_9DAE_beta_Open.bin</t>
  </si>
  <si>
    <t>9DAE</t>
  </si>
  <si>
    <t>D:\Data\Document\ProductsLibrary\C线产品资料库\KB602_black\固件\KB602_0.0.1.250415_beta\UK\KB602_UK_0.0.1.250415_9DAE_beta_Open.bin</t>
  </si>
  <si>
    <t>KB602_US_0.0.1.250415_56F8_beta_Open.bin</t>
  </si>
  <si>
    <t>56F8</t>
  </si>
  <si>
    <t>D:\Data\Document\ProductsLibrary\C线产品资料库\KB602_black\固件\KB602_0.0.1.250415_beta\US\KB602_US_0.0.1.250415_56F8_beta_Open.bin</t>
  </si>
  <si>
    <t>KB602_DE_0.0.1.250427_DF47_beta_Open.bin</t>
  </si>
  <si>
    <t>DF47</t>
  </si>
  <si>
    <t>D:\Data\Document\ProductsLibrary\C线产品资料库\KB602_black\固件\KB602_0.0.1.250427_beta\DE\KB602_DE_0.0.1.250427_DF47_beta_Open.bin</t>
  </si>
  <si>
    <t>KB602_Uk_0.0.1.250427_BD65_beta_Open.bin</t>
  </si>
  <si>
    <t>Uk</t>
  </si>
  <si>
    <t>BD65</t>
  </si>
  <si>
    <t>D:\Data\Document\ProductsLibrary\C线产品资料库\KB602_black\固件\KB602_0.0.1.250427_beta\Uk\KB602_Uk_0.0.1.250427_BD65_beta_Open.bin</t>
  </si>
  <si>
    <t>KB602_US_0.0.1.250427_B57B_beta_Open.bin</t>
  </si>
  <si>
    <t>B57B</t>
  </si>
  <si>
    <t>D:\Data\Document\ProductsLibrary\C线产品资料库\KB602_black\固件\KB602_0.0.1.250427_beta\US\KB602_US_0.0.1.250427_B57B_beta_Open.bin</t>
  </si>
  <si>
    <t>KB602_DE_0.0.1.250428_DD10_beta_Open.bin</t>
  </si>
  <si>
    <t>DD10</t>
  </si>
  <si>
    <t>D:\Data\Document\ProductsLibrary\C线产品资料库\KB602_black\固件\KB602_0.0.1.250428_beta\DE\KB602_DE_0.0.1.250428_DD10_beta_Open.bin</t>
  </si>
  <si>
    <t>KB602_Uk_0.0.1.250428_C086_beta_Open.bin</t>
  </si>
  <si>
    <t>C086</t>
  </si>
  <si>
    <t>D:\Data\Document\ProductsLibrary\C线产品资料库\KB602_black\固件\KB602_0.0.1.250428_beta\Uk\KB602_Uk_0.0.1.250428_C086_beta_Open.bin</t>
  </si>
  <si>
    <t>KB602_US_0.0.1.250428_BC79_beta_Open.bin</t>
  </si>
  <si>
    <t>BC79</t>
  </si>
  <si>
    <t>D:\Data\Document\ProductsLibrary\C线产品资料库\KB602_black\固件\KB602_0.0.1.250428_beta\US\KB602_US_0.0.1.250428_BC79_beta_Open.bin</t>
  </si>
  <si>
    <t>KB602_DE_0.4.2.250521_E3D9_beta_Open.bin</t>
  </si>
  <si>
    <t>0.4.2</t>
  </si>
  <si>
    <t>E3D9</t>
  </si>
  <si>
    <t>D:\Data\Document\ProductsLibrary\C线产品资料库\KB602_black\固件\KB602_0.4.2.250521_beta\DE\KB602_DE_0.4.2.250521_E3D9_beta_Open.bin</t>
  </si>
  <si>
    <t>KB602_UK_0.4.2.250521_B4C3_beta_Open.bin</t>
  </si>
  <si>
    <t>B4C3</t>
  </si>
  <si>
    <t>D:\Data\Document\ProductsLibrary\C线产品资料库\KB602_black\固件\KB602_0.4.2.250521_beta\UK\KB602_UK_0.4.2.250521_B4C3_beta_Open.bin</t>
  </si>
  <si>
    <t>KB602_US_0.4.2.250521_C6B1_beta_Open.bin</t>
  </si>
  <si>
    <t>C6B1</t>
  </si>
  <si>
    <t>D:\Data\Document\ProductsLibrary\C线产品资料库\KB602_black\固件\KB602_0.4.2.250521_beta\US\KB602_US_0.4.2.250521_C6B1_beta_Open.bin</t>
  </si>
  <si>
    <t>KB602_DE_0.4.2.250521_E3D9_release_Open.bin</t>
  </si>
  <si>
    <t>D:\Data\Document\ProductsLibrary\C线产品资料库\KB602_black\固件\release\KB602_0.4.2.250521_release\DE\KB602_DE_0.4.2.250521_E3D9_release_Open.bin</t>
  </si>
  <si>
    <t>KB602_UK_0.4.2.250521_B4C3_release_Open.bin</t>
  </si>
  <si>
    <t>D:\Data\Document\ProductsLibrary\C线产品资料库\KB602_black\固件\release\KB602_0.4.2.250521_release\UK\KB602_UK_0.4.2.250521_B4C3_release_Open.bin</t>
  </si>
  <si>
    <t>KB602_US_0.4.2.250521_C6B1_release_Open.bin</t>
  </si>
  <si>
    <t>D:\Data\Document\ProductsLibrary\C线产品资料库\KB602_black\固件\release\KB602_0.4.2.250521_release\US\KB602_US_0.4.2.250521_C6B1_release_Open.bin</t>
  </si>
  <si>
    <t>KB604_DE_0.0.18.251217_928A_beta_Open.bin</t>
  </si>
  <si>
    <t>KB604</t>
  </si>
  <si>
    <t>928A</t>
  </si>
  <si>
    <t>D:\Data\Document\ProductsLibrary\C线产品资料库\KB604_black\固件\beta\KB604_0.0.18.251217_beta\DE\KB604_DE_0.0.18.251217_928A_beta_Open.bin</t>
  </si>
  <si>
    <t>KB604_JP_0.0.18.251217_264_beta_Open.bin</t>
  </si>
  <si>
    <t>D:\Data\Document\ProductsLibrary\C线产品资料库\KB604_black\固件\beta\KB604_0.0.18.251217_beta\JP\KB604_JP_0.0.18.251217_264_beta_Open.bin</t>
  </si>
  <si>
    <t>KB604_UK_0.0.18.251217_56B9_beta_Open.bin</t>
  </si>
  <si>
    <t>56B9</t>
  </si>
  <si>
    <t>D:\Data\Document\ProductsLibrary\C线产品资料库\KB604_black\固件\beta\KB604_0.0.18.251217_beta\UK\KB604_UK_0.0.18.251217_56B9_beta_Open.bin</t>
  </si>
  <si>
    <t>KB604_DE_0.0.7.251204_D2E7_beta_Open.bin</t>
  </si>
  <si>
    <t>D2E7</t>
  </si>
  <si>
    <t>D:\Data\Document\ProductsLibrary\C线产品资料库\KB604_black\固件\beta\KB604_0.0.7.251204_beta\DE\KB604_DE_0.0.7.251204_D2E7_beta_Open.bin</t>
  </si>
  <si>
    <t>KB604_JP_0.0.7.251205_9F62_beta_Open.bin</t>
  </si>
  <si>
    <t>9F62</t>
  </si>
  <si>
    <t>D:\Data\Document\ProductsLibrary\C线产品资料库\KB604_black\固件\beta\KB604_0.0.7.251204_beta\JP\KB604_JP_0.0.7.251205_9F62_beta_Open.bin</t>
  </si>
  <si>
    <t>KB604_UK_0.0.7.251204_C51F_beta_Open.bin</t>
  </si>
  <si>
    <t>C51F</t>
  </si>
  <si>
    <t>D:\Data\Document\ProductsLibrary\C线产品资料库\KB604_black\固件\beta\KB604_0.0.7.251204_beta\UK\KB604_UK_0.0.7.251204_C51F_beta_Open.bin</t>
  </si>
  <si>
    <t>KB903_DE_0.0.6.250801_DFB1_beta_Open.bin</t>
  </si>
  <si>
    <t>KB903</t>
  </si>
  <si>
    <t>DFB1</t>
  </si>
  <si>
    <t>D:\Data\Document\ProductsLibrary\C线产品资料库\KB903-11A_black\固件\bate\KB903_0.0.6.250801_beta\DE\KB903_DE_0.0.6.250801_DFB1_beta_Open.bin</t>
  </si>
  <si>
    <t>KB903_JP_0.0.6.250801_C8F1_beta_Open.bin</t>
  </si>
  <si>
    <t>C8F1</t>
  </si>
  <si>
    <t>D:\Data\Document\ProductsLibrary\C线产品资料库\KB903-11A_black\固件\bate\KB903_0.0.6.250801_beta\JP\KB903_JP_0.0.6.250801_C8F1_beta_Open.bin</t>
  </si>
  <si>
    <t>KB903_UK_0.0.6.250801_E0CE_beta_Open.bin</t>
  </si>
  <si>
    <t>E0CE</t>
  </si>
  <si>
    <t>D:\Data\Document\ProductsLibrary\C线产品资料库\KB903-11A_black\固件\bate\KB903_0.0.6.250801_beta\UK\KB903_UK_0.0.6.250801_E0CE_beta_Open.bin</t>
  </si>
  <si>
    <t>KB903_US_0.0.6.250801_C9BA_beta_Open.bin</t>
  </si>
  <si>
    <t>C9BA</t>
  </si>
  <si>
    <t>D:\Data\Document\ProductsLibrary\C线产品资料库\KB903-11A_black\固件\bate\KB903_0.0.6.250801_beta\US\KB903_US_0.0.6.250801_C9BA_beta_Open.bin</t>
  </si>
  <si>
    <t>KB903_US_0.0.8.250624_E8FA_beta_Open.bin</t>
  </si>
  <si>
    <t>E8FA</t>
  </si>
  <si>
    <t>D:\Data\Document\ProductsLibrary\C线产品资料库\KB903-11A_black\固件\KB903_0.0.1.250522_alpha\US\KB903_US_0.0.8.250624_E8FA_beta_Open.bin</t>
  </si>
  <si>
    <t>KB903_DE_0.1.5.250722_D88D_beta_Open.bin</t>
  </si>
  <si>
    <t>D88D</t>
  </si>
  <si>
    <t>D:\Data\Document\ProductsLibrary\C线产品资料库\KB903-13A_black\固件\beta\KB903_0.1.5.250722_beta\DE\KB903_DE_0.1.5.250722_D88D_beta_Open.bin</t>
  </si>
  <si>
    <t>KB903_UK_0.1.5.250722_D8A2_beta_Open.bin</t>
  </si>
  <si>
    <t>D8A2</t>
  </si>
  <si>
    <t>D:\Data\Document\ProductsLibrary\C线产品资料库\KB903-13A_black\固件\beta\KB903_0.1.5.250722_beta\UK\KB903_UK_0.1.5.250722_D8A2_beta_Open.bin</t>
  </si>
  <si>
    <t>KB903_US_0.1.5.250722_CF5A_beta_Open.bin</t>
  </si>
  <si>
    <t>CF5A</t>
  </si>
  <si>
    <t>D:\Data\Document\ProductsLibrary\C线产品资料库\KB903-13A_black\固件\beta\KB903_0.1.5.250722_beta\US\KB903_US_0.1.5.250722_CF5A_beta_Open.bin</t>
  </si>
  <si>
    <t>KB903_DE_0.2.1.250812_DA73_beta_Open.bin</t>
  </si>
  <si>
    <t>DA73</t>
  </si>
  <si>
    <t>D:\Data\Document\ProductsLibrary\C线产品资料库\KB903-13A_black\固件\beta\KB903_0.2.1.250812_beta\DE\KB903_DE_0.2.1.250812_DA73_beta_Open.bin</t>
  </si>
  <si>
    <t>KB903_UK_0.2.1.250812_DA88_beta_Open.bin</t>
  </si>
  <si>
    <t>DA88</t>
  </si>
  <si>
    <t>D:\Data\Document\ProductsLibrary\C线产品资料库\KB903-13A_black\固件\beta\KB903_0.2.1.250812_beta\UK\KB903_UK_0.2.1.250812_DA88_beta_Open.bin</t>
  </si>
  <si>
    <t>KB903_US_0.2.1.250812_D617_beta_Open.bin</t>
  </si>
  <si>
    <t>D617</t>
  </si>
  <si>
    <t>D:\Data\Document\ProductsLibrary\C线产品资料库\KB903-13A_black\固件\beta\KB903_0.2.1.250812_beta\US\KB903_US_0.2.1.250812_D617_beta_Open.bin</t>
  </si>
  <si>
    <t>KB903_DE_0.2.3.250815_1244_beta_Open.bin</t>
  </si>
  <si>
    <t>D:\Data\Document\ProductsLibrary\C线产品资料库\KB903-13A_black\固件\beta\KB903_0.2.3.250815_beta\DE\KB903_DE_0.2.3.250815_1244_beta_Open.bin</t>
  </si>
  <si>
    <t>KB903_UK_0.2.3.250815_1259_beta_Open.bin</t>
  </si>
  <si>
    <t>D:\Data\Document\ProductsLibrary\C线产品资料库\KB903-13A_black\固件\beta\KB903_0.2.3.250815_beta\UK\KB903_UK_0.2.3.250815_1259_beta_Open.bin</t>
  </si>
  <si>
    <t>KB903_US_0.2.3.250815_B23_beta_Open.bin</t>
  </si>
  <si>
    <t>B23</t>
  </si>
  <si>
    <t>D:\Data\Document\ProductsLibrary\C线产品资料库\KB903-13A_black\固件\beta\KB903_0.2.3.250815_beta\US\KB903_US_0.2.3.250815_B23_beta_Open.bin</t>
  </si>
  <si>
    <t>KB903_DE_0.0.3.250522_E948_beta_Open.bin</t>
  </si>
  <si>
    <t>E948</t>
  </si>
  <si>
    <t>D:\Data\Document\ProductsLibrary\C线产品资料库\KB903-13A_black\固件\KB903_0.0.3.250522_beta\DE\KB903_DE_0.0.3.250522_E948_beta_Open.bin</t>
  </si>
  <si>
    <t>KB903_UK_0.0.3.250522_E946_beta_Open.bin</t>
  </si>
  <si>
    <t>E946</t>
  </si>
  <si>
    <t>D:\Data\Document\ProductsLibrary\C线产品资料库\KB903-13A_black\固件\KB903_0.0.3.250522_beta\UK\KB903_UK_0.0.3.250522_E946_beta_Open.bin</t>
  </si>
  <si>
    <t>KB903_US_0.0.3.250522_AB57_beta_Open.bin</t>
  </si>
  <si>
    <t>AB57</t>
  </si>
  <si>
    <t>D:\Data\Document\ProductsLibrary\C线产品资料库\KB903-13A_black\固件\KB903_0.0.3.250522_beta\US\KB903_US_0.0.3.250522_AB57_beta_Open.bin</t>
  </si>
  <si>
    <t>KB903_DE_0.0.8.250619_C61_beta_Open.bin</t>
  </si>
  <si>
    <t>C61</t>
  </si>
  <si>
    <t>D:\Data\Document\ProductsLibrary\C线产品资料库\KB903-13A_black\固件\KB903_0.0.8.250619_beta\DE\KB903_DE_0.0.8.250619_C61_beta_Open.bin</t>
  </si>
  <si>
    <t>KB903_UK_0.0.8.250619_C96_beta_Open.bin</t>
  </si>
  <si>
    <t>C96</t>
  </si>
  <si>
    <t>D:\Data\Document\ProductsLibrary\C线产品资料库\KB903-13A_black\固件\KB903_0.0.8.250619_beta\UK\KB903_UK_0.0.8.250619_C96_beta_Open.bin</t>
  </si>
  <si>
    <t>KB903_US_0.0.8.250619_EAF6_beta_Open.bin</t>
  </si>
  <si>
    <t>EAF6</t>
  </si>
  <si>
    <t>D:\Data\Document\ProductsLibrary\C线产品资料库\KB903-13A_black\固件\KB903_0.0.8.250619_beta\US\KB903_US_0.0.8.250619_EAF6_beta_Open.bin</t>
  </si>
  <si>
    <t>KB903_DE_0.1.5.250627_4CF1_beta_Open.bin</t>
  </si>
  <si>
    <t>4CF1</t>
  </si>
  <si>
    <t>D:\Data\Document\ProductsLibrary\C线产品资料库\KB903-13A_black\固件\KB903_0.1.5.250627_beta\DE\KB903_DE_0.1.5.250627_4CF1_beta_Open.bin</t>
  </si>
  <si>
    <t>KB903_UK_0.1.5.250627_4D06_beta_Open.bin</t>
  </si>
  <si>
    <t>4D06</t>
  </si>
  <si>
    <t>D:\Data\Document\ProductsLibrary\C线产品资料库\KB903-13A_black\固件\KB903_0.1.5.250627_beta\UK\KB903_UK_0.1.5.250627_4D06_beta_Open.bin</t>
  </si>
  <si>
    <t>KB903_US_0.1.5.250627_3846_beta_Open.bin</t>
  </si>
  <si>
    <t>D:\Data\Document\ProductsLibrary\C线产品资料库\KB903-13A_black\固件\KB903_0.1.5.250627_beta\US\KB903_US_0.1.5.250627_3846_beta_Open.bin</t>
  </si>
  <si>
    <t>KB903_DE_0.4.3.250915_A4A2_release_Open.bin</t>
  </si>
  <si>
    <t>0.4.3</t>
  </si>
  <si>
    <t>A4A2</t>
  </si>
  <si>
    <t>D:\Data\Document\ProductsLibrary\C线产品资料库\KB903-13A_black\固件\release\KB903_0.4.3.250915_release\DE\KB903_DE_0.4.3.250915_A4A2_release_Open.bin</t>
  </si>
  <si>
    <t>KB903_UK_0.4.3.250915_A4B7_release_Open.bin</t>
  </si>
  <si>
    <t>A4B7</t>
  </si>
  <si>
    <t>D:\Data\Document\ProductsLibrary\C线产品资料库\KB903-13A_black\固件\release\KB903_0.4.3.250915_release\UK\KB903_UK_0.4.3.250915_A4B7_release_Open.bin</t>
  </si>
  <si>
    <t>KB903_US_0.4.3.250915_A433_release_Open.bin</t>
  </si>
  <si>
    <t>A433</t>
  </si>
  <si>
    <t>D:\Data\Document\ProductsLibrary\C线产品资料库\KB903-13A_black\固件\release\KB903_0.4.3.250915_release\US\KB903_US_0.4.3.250915_A433_release_Open.bin</t>
  </si>
  <si>
    <t>N0073_N0074_NeoMagic_DE_0.2.3.250904_F3A4_release_Open.bin</t>
  </si>
  <si>
    <t>F3A4</t>
  </si>
  <si>
    <t>D:\Data\Document\ProductsLibrary\C线产品资料库\KB903-13A_black\固件\release\N0073_N0074_NeoMagic_0.2.3.250904_release\DE\N0073_N0074_NeoMagic_DE_0.2.3.250904_F3A4_release_Open.bin</t>
  </si>
  <si>
    <t>N0073_N0074_NeoMagic_UK_0.2.3.250904_F3B9_release_Open.bin</t>
  </si>
  <si>
    <t>F3B9</t>
  </si>
  <si>
    <t>D:\Data\Document\ProductsLibrary\C线产品资料库\KB903-13A_black\固件\release\N0073_N0074_NeoMagic_0.2.3.250904_release\UK\N0073_N0074_NeoMagic_UK_0.2.3.250904_F3B9_release_Open.bin</t>
  </si>
  <si>
    <t>N0073_N0074_NeoMagic_US_0.2.3.250904_F236_release_Open.bin</t>
  </si>
  <si>
    <t>F236</t>
  </si>
  <si>
    <t>D:\Data\Document\ProductsLibrary\C线产品资料库\KB903-13A_black\固件\release\N0073_N0074_NeoMagic_0.2.3.250904_release\US\N0073_N0074_NeoMagic_US_0.2.3.250904_F236_release_Open.bin</t>
  </si>
  <si>
    <t>KB04122</t>
    <phoneticPr fontId="18" type="noConversion"/>
  </si>
  <si>
    <t>BK2007</t>
    <phoneticPr fontId="18" type="noConversion"/>
  </si>
  <si>
    <t>KB04122_RGB</t>
    <phoneticPr fontId="18" type="noConversion"/>
  </si>
  <si>
    <t>KB04122-13A</t>
  </si>
  <si>
    <t>KB04122-13A</t>
    <phoneticPr fontId="18" type="noConversion"/>
  </si>
  <si>
    <t>KB903-11A</t>
    <phoneticPr fontId="18" type="noConversion"/>
  </si>
  <si>
    <t>KB903-13A</t>
    <phoneticPr fontId="18" type="noConversion"/>
  </si>
  <si>
    <t>KB09119</t>
  </si>
  <si>
    <t>KB09119</t>
    <phoneticPr fontId="18" type="noConversion"/>
  </si>
  <si>
    <t>KB002</t>
    <phoneticPr fontId="18" type="noConversion"/>
  </si>
  <si>
    <t>KB403X</t>
    <phoneticPr fontId="18" type="noConversion"/>
  </si>
  <si>
    <t>KB107</t>
  </si>
  <si>
    <t>T001</t>
    <phoneticPr fontId="18" type="noConversion"/>
  </si>
  <si>
    <t>项目名称</t>
    <phoneticPr fontId="18" type="noConversion"/>
  </si>
  <si>
    <t>是否已release</t>
    <phoneticPr fontId="18" type="noConversion"/>
  </si>
  <si>
    <t>当前最新进展</t>
    <phoneticPr fontId="18" type="noConversion"/>
  </si>
  <si>
    <t>运用自研单片机</t>
    <phoneticPr fontId="18" type="noConversion"/>
  </si>
  <si>
    <t>硬件是否自研</t>
    <phoneticPr fontId="18" type="noConversion"/>
  </si>
  <si>
    <t>序号</t>
    <phoneticPr fontId="18" type="noConversion"/>
  </si>
  <si>
    <t>是</t>
    <phoneticPr fontId="18" type="noConversion"/>
  </si>
  <si>
    <t>time</t>
    <phoneticPr fontId="18" type="noConversion"/>
  </si>
  <si>
    <t>KB05113</t>
    <phoneticPr fontId="18" type="noConversion"/>
  </si>
  <si>
    <t>KB06101</t>
    <phoneticPr fontId="18" type="noConversion"/>
  </si>
  <si>
    <t>已生产</t>
    <phoneticPr fontId="18" type="noConversion"/>
  </si>
  <si>
    <t>验收中</t>
    <phoneticPr fontId="18" type="noConversion"/>
  </si>
  <si>
    <t>已验收</t>
    <phoneticPr fontId="18" type="noConversion"/>
  </si>
  <si>
    <t>开发中</t>
    <phoneticPr fontId="18" type="noConversion"/>
  </si>
  <si>
    <t>否</t>
    <phoneticPr fontId="18" type="noConversion"/>
  </si>
  <si>
    <t>最新版是</t>
    <phoneticPr fontId="18" type="noConversion"/>
  </si>
  <si>
    <t>1.0.0</t>
    <phoneticPr fontId="18" type="noConversion"/>
  </si>
  <si>
    <t>无</t>
    <phoneticPr fontId="18" type="noConversion"/>
  </si>
  <si>
    <t>2.0.0</t>
    <phoneticPr fontId="18" type="noConversion"/>
  </si>
  <si>
    <t>蓝牙轮询</t>
    <phoneticPr fontId="18" type="noConversion"/>
  </si>
  <si>
    <t xml:space="preserve"> 触控预设手势</t>
    <phoneticPr fontId="18" type="noConversion"/>
  </si>
  <si>
    <t>充电加快</t>
    <phoneticPr fontId="18" type="noConversion"/>
  </si>
  <si>
    <t>全域压感</t>
    <phoneticPr fontId="18" type="noConversion"/>
  </si>
  <si>
    <t>电量管理优化</t>
    <phoneticPr fontId="18" type="noConversion"/>
  </si>
  <si>
    <t>触控优化</t>
    <phoneticPr fontId="18" type="noConversion"/>
  </si>
  <si>
    <t>最新release时间</t>
    <phoneticPr fontId="18" type="noConversion"/>
  </si>
  <si>
    <t>触控与按键同时使用</t>
    <phoneticPr fontId="18" type="noConversion"/>
  </si>
  <si>
    <t>自定义按键，调节休眠时间</t>
    <phoneticPr fontId="18" type="noConversion"/>
  </si>
  <si>
    <t>部分修饰键放开</t>
    <phoneticPr fontId="18" type="noConversion"/>
  </si>
  <si>
    <t>触控预设手势</t>
    <phoneticPr fontId="18" type="noConversion"/>
  </si>
  <si>
    <t>按下时防误触</t>
    <phoneticPr fontId="18" type="noConversion"/>
  </si>
  <si>
    <t>KB04112</t>
    <phoneticPr fontId="18" type="noConversion"/>
  </si>
  <si>
    <t>自定义按键，调节休眠时间，触控板开关，触控预设手势</t>
    <phoneticPr fontId="18" type="noConversion"/>
  </si>
  <si>
    <t>自定义按键、触控板开关、触控预设手势、休眠时间调整</t>
    <phoneticPr fontId="18" type="noConversion"/>
  </si>
  <si>
    <t>按键开机</t>
    <phoneticPr fontId="18" type="noConversion"/>
  </si>
  <si>
    <t>按压唤醒</t>
    <phoneticPr fontId="18" type="noConversion"/>
  </si>
  <si>
    <t>自定义按键、触控板开关、背光颜色时间调整、触控预设手势、休眠时间调整</t>
    <phoneticPr fontId="18" type="noConversion"/>
  </si>
  <si>
    <t>触控板开关、背光颜色时间调整、触控预设手势、休眠时间调整</t>
    <phoneticPr fontId="18" type="noConversion"/>
  </si>
  <si>
    <t>自定义按键、休眠时间调整</t>
    <phoneticPr fontId="18" type="noConversion"/>
  </si>
  <si>
    <t>KB06007 UK</t>
    <phoneticPr fontId="18" type="noConversion"/>
  </si>
  <si>
    <t>KB06007 Mac</t>
    <phoneticPr fontId="18" type="noConversion"/>
  </si>
  <si>
    <t>配置tag</t>
    <phoneticPr fontId="18" type="noConversion"/>
  </si>
  <si>
    <t>配置tag功能</t>
    <phoneticPr fontId="18" type="noConversion"/>
  </si>
  <si>
    <t>触控板软件</t>
    <phoneticPr fontId="18" type="noConversion"/>
  </si>
  <si>
    <t>BK2007-RGB</t>
  </si>
  <si>
    <t>BK2007-RGB</t>
    <phoneticPr fontId="18" type="noConversion"/>
  </si>
  <si>
    <t>BK2007-13</t>
  </si>
  <si>
    <t>BK2007-13</t>
    <phoneticPr fontId="18" type="noConversion"/>
  </si>
  <si>
    <t>KB403_10A</t>
    <phoneticPr fontId="18" type="noConversion"/>
  </si>
  <si>
    <t>序号</t>
    <phoneticPr fontId="23" type="noConversion"/>
  </si>
  <si>
    <t>产品</t>
    <phoneticPr fontId="23" type="noConversion"/>
  </si>
  <si>
    <t>是否固件自研</t>
    <phoneticPr fontId="23" type="noConversion"/>
  </si>
  <si>
    <t>产品名称</t>
  </si>
  <si>
    <t>品类</t>
  </si>
  <si>
    <t>销售额</t>
  </si>
  <si>
    <t>同比销售额</t>
  </si>
  <si>
    <t>同比销售额差</t>
  </si>
  <si>
    <t>销量</t>
  </si>
  <si>
    <t>同比销量</t>
  </si>
  <si>
    <t>同比销量差</t>
  </si>
  <si>
    <t>月平均成交价</t>
  </si>
  <si>
    <t>同比月平均成交价</t>
  </si>
  <si>
    <t>销售额占比</t>
  </si>
  <si>
    <t>毛利润额</t>
  </si>
  <si>
    <t>同比毛利润额</t>
  </si>
  <si>
    <t>同比毛利润差</t>
  </si>
  <si>
    <t>毛利润率</t>
  </si>
  <si>
    <t>同比毛利润率</t>
  </si>
  <si>
    <t>利润额占比</t>
  </si>
  <si>
    <t>站内广告费用</t>
  </si>
  <si>
    <t>站内广告费用占比</t>
  </si>
  <si>
    <t>KB01104_gray</t>
  </si>
  <si>
    <t>Tablet Keyboard</t>
  </si>
  <si>
    <t>179074.6</t>
  </si>
  <si>
    <t>45369.6</t>
  </si>
  <si>
    <t>133705</t>
  </si>
  <si>
    <t>4010</t>
  </si>
  <si>
    <t>893</t>
  </si>
  <si>
    <t>3117</t>
  </si>
  <si>
    <t>44.7</t>
  </si>
  <si>
    <t>50.8</t>
  </si>
  <si>
    <t>0.00%</t>
  </si>
  <si>
    <t>10444.4</t>
  </si>
  <si>
    <t>3774.3</t>
  </si>
  <si>
    <t>6670.1</t>
  </si>
  <si>
    <t>5.80%</t>
  </si>
  <si>
    <t>8.20%</t>
  </si>
  <si>
    <t>21512.8</t>
  </si>
  <si>
    <t>12.00%</t>
  </si>
  <si>
    <t>KB04122_graphite</t>
  </si>
  <si>
    <t>65094.5</t>
  </si>
  <si>
    <t>0</t>
  </si>
  <si>
    <t>1174</t>
  </si>
  <si>
    <t>55.4</t>
  </si>
  <si>
    <t>-894.1</t>
  </si>
  <si>
    <t>-25.90%</t>
  </si>
  <si>
    <t>1636.2</t>
  </si>
  <si>
    <t>47.40%</t>
  </si>
  <si>
    <t>KB04122-13A_gray</t>
    <phoneticPr fontId="23" type="noConversion"/>
  </si>
  <si>
    <t>693.4</t>
  </si>
  <si>
    <t>13</t>
  </si>
  <si>
    <t>53.3</t>
  </si>
  <si>
    <t>-414.3</t>
  </si>
  <si>
    <t>-385.40%</t>
  </si>
  <si>
    <t>281.1</t>
  </si>
  <si>
    <t>261.50%</t>
  </si>
  <si>
    <t>KB02009_black</t>
    <phoneticPr fontId="23" type="noConversion"/>
  </si>
  <si>
    <t>43462.3</t>
  </si>
  <si>
    <t>190807.9</t>
  </si>
  <si>
    <t>-147345.6</t>
  </si>
  <si>
    <t>1142</t>
  </si>
  <si>
    <t>5258</t>
  </si>
  <si>
    <t>-4116</t>
  </si>
  <si>
    <t>38.1</t>
  </si>
  <si>
    <t>36.3</t>
  </si>
  <si>
    <t>2690.5</t>
  </si>
  <si>
    <t>1563.9</t>
  </si>
  <si>
    <t>1126.6</t>
  </si>
  <si>
    <t>6.10%</t>
  </si>
  <si>
    <t>0.80%</t>
  </si>
  <si>
    <t>1621.3</t>
  </si>
  <si>
    <t>3.70%</t>
  </si>
  <si>
    <t>BK2006_black</t>
  </si>
  <si>
    <t>430891.4</t>
  </si>
  <si>
    <t>801234.7</t>
  </si>
  <si>
    <t>-370343.3</t>
  </si>
  <si>
    <t>13330</t>
  </si>
  <si>
    <t>23968</t>
  </si>
  <si>
    <t>-10638</t>
  </si>
  <si>
    <t>32.3</t>
  </si>
  <si>
    <t>33.4</t>
  </si>
  <si>
    <t>43377.2</t>
  </si>
  <si>
    <t>83052.5</t>
  </si>
  <si>
    <t>-39675.3</t>
  </si>
  <si>
    <t>10.10%</t>
  </si>
  <si>
    <t>10.50%</t>
  </si>
  <si>
    <t>27303.4</t>
  </si>
  <si>
    <t>6.40%</t>
  </si>
  <si>
    <t>MS02001_black</t>
  </si>
  <si>
    <t>Mouse</t>
  </si>
  <si>
    <t>31798</t>
  </si>
  <si>
    <t>81663.5</t>
  </si>
  <si>
    <t>-49865.5</t>
  </si>
  <si>
    <t>2141</t>
  </si>
  <si>
    <t>5617</t>
  </si>
  <si>
    <t>-3476</t>
  </si>
  <si>
    <t>14.9</t>
  </si>
  <si>
    <t>14.5</t>
  </si>
  <si>
    <t>4493.4</t>
  </si>
  <si>
    <t>10374.8</t>
  </si>
  <si>
    <t>-5881.4</t>
  </si>
  <si>
    <t>14.10%</t>
  </si>
  <si>
    <t>12.70%</t>
  </si>
  <si>
    <t>KB602_black</t>
    <phoneticPr fontId="23" type="noConversion"/>
  </si>
  <si>
    <t>56219.8</t>
  </si>
  <si>
    <t>1576</t>
  </si>
  <si>
    <t>35.7</t>
  </si>
  <si>
    <t>672.2</t>
  </si>
  <si>
    <t>1.20%</t>
  </si>
  <si>
    <t>10319.4</t>
  </si>
  <si>
    <t>18.90%</t>
  </si>
  <si>
    <t>KB02017_black</t>
  </si>
  <si>
    <t>37.2</t>
  </si>
  <si>
    <t>1</t>
  </si>
  <si>
    <t>4</t>
  </si>
  <si>
    <t>10.80%</t>
  </si>
  <si>
    <t>BK2007_purple</t>
  </si>
  <si>
    <t>184652.2</t>
  </si>
  <si>
    <t>169179</t>
  </si>
  <si>
    <t>15473.2</t>
  </si>
  <si>
    <t>5323</t>
  </si>
  <si>
    <t>4544</t>
  </si>
  <si>
    <t>779</t>
  </si>
  <si>
    <t>34.7</t>
  </si>
  <si>
    <t>26057</t>
  </si>
  <si>
    <t>19440.1</t>
  </si>
  <si>
    <t>6616.9</t>
  </si>
  <si>
    <t>14.00%</t>
  </si>
  <si>
    <t>11.20%</t>
  </si>
  <si>
    <t>36842</t>
  </si>
  <si>
    <t>7747.4</t>
  </si>
  <si>
    <t>29094.6</t>
  </si>
  <si>
    <t>769</t>
  </si>
  <si>
    <t>121</t>
  </si>
  <si>
    <t>648</t>
  </si>
  <si>
    <t>47.9</t>
  </si>
  <si>
    <t>64</t>
  </si>
  <si>
    <t>-3584.3</t>
  </si>
  <si>
    <t>-279.5</t>
  </si>
  <si>
    <t>-3304.8</t>
  </si>
  <si>
    <t>-9.70%</t>
  </si>
  <si>
    <t>-3.60%</t>
  </si>
  <si>
    <t>1528.8</t>
  </si>
  <si>
    <t>4.10%</t>
  </si>
  <si>
    <t>8869.7</t>
  </si>
  <si>
    <t>213</t>
  </si>
  <si>
    <t>41.6</t>
  </si>
  <si>
    <t>-1987</t>
  </si>
  <si>
    <t>-22.50%</t>
  </si>
  <si>
    <t>47.2</t>
  </si>
  <si>
    <t>0.50%</t>
  </si>
  <si>
    <t>KB09119-10_white</t>
  </si>
  <si>
    <t>232820.8</t>
  </si>
  <si>
    <t>3323</t>
  </si>
  <si>
    <t>70.1</t>
  </si>
  <si>
    <t>45685</t>
  </si>
  <si>
    <t>20.20%</t>
  </si>
  <si>
    <t>5219.3</t>
  </si>
  <si>
    <t>2.30%</t>
  </si>
  <si>
    <t>81139.9</t>
  </si>
  <si>
    <t>2733.9</t>
  </si>
  <si>
    <t>78406</t>
  </si>
  <si>
    <t>2261</t>
  </si>
  <si>
    <t>73</t>
  </si>
  <si>
    <t>2188</t>
  </si>
  <si>
    <t>35.9</t>
  </si>
  <si>
    <t>37.5</t>
  </si>
  <si>
    <t>6291.7</t>
  </si>
  <si>
    <t>180.1</t>
  </si>
  <si>
    <t>6111.6</t>
  </si>
  <si>
    <t>7.90%</t>
  </si>
  <si>
    <t>6.80%</t>
  </si>
  <si>
    <t>740.7</t>
  </si>
  <si>
    <t>0.90%</t>
  </si>
  <si>
    <t>KB404-11S_black</t>
    <phoneticPr fontId="23" type="noConversion"/>
  </si>
  <si>
    <t>298640.6</t>
  </si>
  <si>
    <t>5610</t>
  </si>
  <si>
    <t>53.2</t>
  </si>
  <si>
    <t>32695.7</t>
  </si>
  <si>
    <t>11.10%</t>
  </si>
  <si>
    <t>31291.7</t>
  </si>
  <si>
    <t>10.60%</t>
  </si>
  <si>
    <t>BK2007_gray</t>
  </si>
  <si>
    <t>1026343.8</t>
  </si>
  <si>
    <t>1016681</t>
  </si>
  <si>
    <t>9662.8</t>
  </si>
  <si>
    <t>29034</t>
  </si>
  <si>
    <t>27061</t>
  </si>
  <si>
    <t>1973</t>
  </si>
  <si>
    <t>35.3</t>
  </si>
  <si>
    <t>37.6</t>
  </si>
  <si>
    <t>43917.6</t>
  </si>
  <si>
    <t>30642.9</t>
  </si>
  <si>
    <t>13274.7</t>
  </si>
  <si>
    <t>4.30%</t>
  </si>
  <si>
    <t>3.00%</t>
  </si>
  <si>
    <t>129673</t>
  </si>
  <si>
    <t>12.60%</t>
  </si>
  <si>
    <t>Computer Keyboard</t>
  </si>
  <si>
    <t>69173.7</t>
  </si>
  <si>
    <t>527.3</t>
  </si>
  <si>
    <t>68646.4</t>
  </si>
  <si>
    <t>1922</t>
  </si>
  <si>
    <t>26</t>
  </si>
  <si>
    <t>1896</t>
  </si>
  <si>
    <t>36</t>
  </si>
  <si>
    <t>20.3</t>
  </si>
  <si>
    <t>-602.2</t>
  </si>
  <si>
    <t>-65.7</t>
  </si>
  <si>
    <t>-536.5</t>
  </si>
  <si>
    <t>-0.80%</t>
  </si>
  <si>
    <t>-11.60%</t>
  </si>
  <si>
    <t>15864</t>
  </si>
  <si>
    <t>22.40%</t>
  </si>
  <si>
    <t>BK2007_blue</t>
  </si>
  <si>
    <t>247933.7</t>
  </si>
  <si>
    <t>2324.4</t>
  </si>
  <si>
    <t>245609.3</t>
  </si>
  <si>
    <t>7057</t>
  </si>
  <si>
    <t>67</t>
  </si>
  <si>
    <t>6990</t>
  </si>
  <si>
    <t>35.1</t>
  </si>
  <si>
    <t>31595</t>
  </si>
  <si>
    <t>46.8</t>
  </si>
  <si>
    <t>31548.2</t>
  </si>
  <si>
    <t>12.80%</t>
  </si>
  <si>
    <t>2.80%</t>
  </si>
  <si>
    <t>2932.3</t>
  </si>
  <si>
    <t>KB603_black</t>
    <phoneticPr fontId="23" type="noConversion"/>
  </si>
  <si>
    <t>13034.4</t>
  </si>
  <si>
    <t>413</t>
  </si>
  <si>
    <t>31.6</t>
  </si>
  <si>
    <t>-1025.7</t>
  </si>
  <si>
    <t>-7.90%</t>
  </si>
  <si>
    <t>3405</t>
  </si>
  <si>
    <t>26.30%</t>
  </si>
  <si>
    <t>KB04002_black</t>
  </si>
  <si>
    <t>665806.9</t>
  </si>
  <si>
    <t>922276.9</t>
  </si>
  <si>
    <t>-256470</t>
  </si>
  <si>
    <t>19546</t>
  </si>
  <si>
    <t>25762</t>
  </si>
  <si>
    <t>-6216</t>
  </si>
  <si>
    <t>34.1</t>
  </si>
  <si>
    <t>35.8</t>
  </si>
  <si>
    <t>32.9</t>
  </si>
  <si>
    <t>44452.4</t>
  </si>
  <si>
    <t>-44419.5</t>
  </si>
  <si>
    <t>4.80%</t>
  </si>
  <si>
    <t>80805.3</t>
  </si>
  <si>
    <t>12.20%</t>
  </si>
  <si>
    <t>KB04122_green</t>
  </si>
  <si>
    <t>165998.9</t>
  </si>
  <si>
    <t>2930</t>
  </si>
  <si>
    <t>56.7</t>
  </si>
  <si>
    <t>38196.5</t>
  </si>
  <si>
    <t>23.50%</t>
  </si>
  <si>
    <t>188.8</t>
  </si>
  <si>
    <t>0.10%</t>
  </si>
  <si>
    <t>KB06103_black</t>
  </si>
  <si>
    <t>26924.3</t>
  </si>
  <si>
    <t>640</t>
  </si>
  <si>
    <t>42.1</t>
  </si>
  <si>
    <t>-604.3</t>
  </si>
  <si>
    <t>-2.30%</t>
  </si>
  <si>
    <t>3904.3</t>
  </si>
  <si>
    <t>14.70%</t>
  </si>
  <si>
    <t>78232.9</t>
  </si>
  <si>
    <t>422189.7</t>
  </si>
  <si>
    <t>-343956.8</t>
  </si>
  <si>
    <t>1323</t>
  </si>
  <si>
    <t>6860</t>
  </si>
  <si>
    <t>-5537</t>
  </si>
  <si>
    <t>59.1</t>
  </si>
  <si>
    <t>61.5</t>
  </si>
  <si>
    <t>5900.9</t>
  </si>
  <si>
    <t>59974.9</t>
  </si>
  <si>
    <t>-54074</t>
  </si>
  <si>
    <t>7.60%</t>
  </si>
  <si>
    <t>5673.1</t>
  </si>
  <si>
    <t>7.30%</t>
  </si>
  <si>
    <t>KB002_pink</t>
    <phoneticPr fontId="23" type="noConversion"/>
  </si>
  <si>
    <t>69924.4</t>
  </si>
  <si>
    <t>1695</t>
  </si>
  <si>
    <t>41.3</t>
  </si>
  <si>
    <t>13708.7</t>
  </si>
  <si>
    <t>376.3</t>
  </si>
  <si>
    <t>0.60%</t>
  </si>
  <si>
    <t>KB09119-10_blue</t>
  </si>
  <si>
    <t>140350.9</t>
  </si>
  <si>
    <t>2065</t>
  </si>
  <si>
    <t>68</t>
  </si>
  <si>
    <t>31246.1</t>
  </si>
  <si>
    <t>22.80%</t>
  </si>
  <si>
    <t>142.2</t>
  </si>
  <si>
    <t>26153.3</t>
  </si>
  <si>
    <t>662</t>
  </si>
  <si>
    <t>39.5</t>
  </si>
  <si>
    <t>-3731.8</t>
  </si>
  <si>
    <t>-0.3</t>
  </si>
  <si>
    <t>-3731.5</t>
  </si>
  <si>
    <t>-14.10%</t>
  </si>
  <si>
    <t>KB09119_white</t>
  </si>
  <si>
    <t>190516.1</t>
  </si>
  <si>
    <t>2463</t>
  </si>
  <si>
    <t>77.4</t>
  </si>
  <si>
    <t>39787.2</t>
  </si>
  <si>
    <t>21.60%</t>
  </si>
  <si>
    <t>3548.3</t>
  </si>
  <si>
    <t>1.90%</t>
  </si>
  <si>
    <t>KB06007_gray</t>
  </si>
  <si>
    <t>94934.5</t>
  </si>
  <si>
    <t>2345</t>
  </si>
  <si>
    <t>40.5</t>
  </si>
  <si>
    <t>4735.9</t>
  </si>
  <si>
    <t>5.10%</t>
  </si>
  <si>
    <t>10291.9</t>
  </si>
  <si>
    <t>11.00%</t>
  </si>
  <si>
    <t>125249.1</t>
  </si>
  <si>
    <t>1691</t>
  </si>
  <si>
    <t>74.1</t>
  </si>
  <si>
    <t>24977.2</t>
  </si>
  <si>
    <t>20.10%</t>
  </si>
  <si>
    <t>1658.2</t>
  </si>
  <si>
    <t>1.30%</t>
  </si>
  <si>
    <t>BK2007-13_gray</t>
  </si>
  <si>
    <t>454203.7</t>
  </si>
  <si>
    <t>779.1</t>
  </si>
  <si>
    <t>453424.6</t>
  </si>
  <si>
    <t>7256</t>
  </si>
  <si>
    <t>15</t>
  </si>
  <si>
    <t>7241</t>
  </si>
  <si>
    <t>62.6</t>
  </si>
  <si>
    <t>51.9</t>
  </si>
  <si>
    <t>65803.7</t>
  </si>
  <si>
    <t>17.1</t>
  </si>
  <si>
    <t>65786.6</t>
  </si>
  <si>
    <t>14.60%</t>
  </si>
  <si>
    <t>2.20%</t>
  </si>
  <si>
    <t>40538.1</t>
  </si>
  <si>
    <t>9.00%</t>
  </si>
  <si>
    <t>KB003-11A_black</t>
    <phoneticPr fontId="23" type="noConversion"/>
  </si>
  <si>
    <t>72303.9</t>
  </si>
  <si>
    <t>2123</t>
  </si>
  <si>
    <t>-457.3</t>
  </si>
  <si>
    <t>-0.60%</t>
  </si>
  <si>
    <t>15265</t>
  </si>
  <si>
    <t>21.30%</t>
  </si>
  <si>
    <t>BK2007_white</t>
  </si>
  <si>
    <t>126657.7</t>
  </si>
  <si>
    <t>3627</t>
  </si>
  <si>
    <t>34.9</t>
  </si>
  <si>
    <t>16321.7</t>
  </si>
  <si>
    <t>13.00%</t>
  </si>
  <si>
    <t>6148.7</t>
  </si>
  <si>
    <t>4.90%</t>
  </si>
  <si>
    <t>KB04122_pink</t>
  </si>
  <si>
    <t>537819.2</t>
  </si>
  <si>
    <t>9390</t>
  </si>
  <si>
    <t>57.3</t>
  </si>
  <si>
    <t>139986.7</t>
  </si>
  <si>
    <t>26.40%</t>
  </si>
  <si>
    <t>3301.9</t>
  </si>
  <si>
    <t>KB09119_black</t>
  </si>
  <si>
    <t>1195612.5</t>
  </si>
  <si>
    <t>5954</t>
  </si>
  <si>
    <t>1189658.5</t>
  </si>
  <si>
    <t>15798</t>
  </si>
  <si>
    <t>109</t>
  </si>
  <si>
    <t>15689</t>
  </si>
  <si>
    <t>75.7</t>
  </si>
  <si>
    <t>54.6</t>
  </si>
  <si>
    <t>112277.1</t>
  </si>
  <si>
    <t>-61.9</t>
  </si>
  <si>
    <t>112339</t>
  </si>
  <si>
    <t>9.50%</t>
  </si>
  <si>
    <t>-1.10%</t>
  </si>
  <si>
    <t>175687.5</t>
  </si>
  <si>
    <t>14.90%</t>
  </si>
  <si>
    <t>KB004_black</t>
    <phoneticPr fontId="23" type="noConversion"/>
  </si>
  <si>
    <t>56257.2</t>
  </si>
  <si>
    <t>1378</t>
  </si>
  <si>
    <t>40.8</t>
  </si>
  <si>
    <t>-5101.3</t>
  </si>
  <si>
    <t>-9.40%</t>
  </si>
  <si>
    <t>16464.3</t>
  </si>
  <si>
    <t>30.30%</t>
  </si>
  <si>
    <t>BK2007_black</t>
  </si>
  <si>
    <t>372945.9</t>
  </si>
  <si>
    <t>316088.6</t>
  </si>
  <si>
    <t>56857.3</t>
  </si>
  <si>
    <t>10881</t>
  </si>
  <si>
    <t>8498</t>
  </si>
  <si>
    <t>2383</t>
  </si>
  <si>
    <t>34.3</t>
  </si>
  <si>
    <t>55137.3</t>
  </si>
  <si>
    <t>35806.7</t>
  </si>
  <si>
    <t>19330.6</t>
  </si>
  <si>
    <t>5274.5</t>
  </si>
  <si>
    <t>1.40%</t>
  </si>
  <si>
    <t>72550.3</t>
  </si>
  <si>
    <t>176833.9</t>
  </si>
  <si>
    <t>-104283.6</t>
  </si>
  <si>
    <t>703</t>
  </si>
  <si>
    <t>1603</t>
  </si>
  <si>
    <t>-900</t>
  </si>
  <si>
    <t>103.2</t>
  </si>
  <si>
    <t>110.3</t>
  </si>
  <si>
    <t>7341.1</t>
  </si>
  <si>
    <t>9560</t>
  </si>
  <si>
    <t>-2218.9</t>
  </si>
  <si>
    <t>10.20%</t>
  </si>
  <si>
    <t>5.40%</t>
  </si>
  <si>
    <t>3888.2</t>
  </si>
  <si>
    <t>28.1</t>
  </si>
  <si>
    <t>12378.4</t>
  </si>
  <si>
    <t>-12350.3</t>
  </si>
  <si>
    <t>11</t>
  </si>
  <si>
    <t>343</t>
  </si>
  <si>
    <t>-332</t>
  </si>
  <si>
    <t>2.6</t>
  </si>
  <si>
    <t>36.1</t>
  </si>
  <si>
    <t>-240.1</t>
  </si>
  <si>
    <t>366.6</t>
  </si>
  <si>
    <t>-606.7</t>
  </si>
  <si>
    <t>-854.40%</t>
  </si>
  <si>
    <t>KB02028_gray</t>
  </si>
  <si>
    <t>200006</t>
  </si>
  <si>
    <t>88568.1</t>
  </si>
  <si>
    <t>111437.9</t>
  </si>
  <si>
    <t>5248</t>
  </si>
  <si>
    <t>2389</t>
  </si>
  <si>
    <t>2859</t>
  </si>
  <si>
    <t>37.1</t>
  </si>
  <si>
    <t>16284.5</t>
  </si>
  <si>
    <t>2223.5</t>
  </si>
  <si>
    <t>14061</t>
  </si>
  <si>
    <t>8.10%</t>
  </si>
  <si>
    <t>2.50%</t>
  </si>
  <si>
    <t>9875.4</t>
  </si>
  <si>
    <t>KB06101_steel gray</t>
  </si>
  <si>
    <t>76863.1</t>
  </si>
  <si>
    <t>24120.6</t>
  </si>
  <si>
    <t>52742.5</t>
  </si>
  <si>
    <t>2689</t>
  </si>
  <si>
    <t>844</t>
  </si>
  <si>
    <t>1845</t>
  </si>
  <si>
    <t>28.6</t>
  </si>
  <si>
    <t>-8954.9</t>
  </si>
  <si>
    <t>-4280.3</t>
  </si>
  <si>
    <t>-4674.6</t>
  </si>
  <si>
    <t>-11.40%</t>
  </si>
  <si>
    <t>-17.10%</t>
  </si>
  <si>
    <t>9615.5</t>
  </si>
  <si>
    <t>12.30%</t>
  </si>
  <si>
    <t>1354.6</t>
  </si>
  <si>
    <t>15506.7</t>
  </si>
  <si>
    <t>-14152.1</t>
  </si>
  <si>
    <t>97</t>
  </si>
  <si>
    <t>1026</t>
  </si>
  <si>
    <t>-929</t>
  </si>
  <si>
    <t>14</t>
  </si>
  <si>
    <t>15.1</t>
  </si>
  <si>
    <t>-278.3</t>
  </si>
  <si>
    <t>-1402.9</t>
  </si>
  <si>
    <t>1124.6</t>
  </si>
  <si>
    <t>-20.40%</t>
  </si>
  <si>
    <t>-8.60%</t>
  </si>
  <si>
    <t>36.2</t>
  </si>
  <si>
    <t>2.60%</t>
  </si>
  <si>
    <t>PTC003-11_gray</t>
  </si>
  <si>
    <t>iPad Protective Case</t>
  </si>
  <si>
    <t>4798.1</t>
  </si>
  <si>
    <t>10427.2</t>
  </si>
  <si>
    <t>-5629.1</t>
  </si>
  <si>
    <t>309</t>
  </si>
  <si>
    <t>550</t>
  </si>
  <si>
    <t>-241</t>
  </si>
  <si>
    <t>15.5</t>
  </si>
  <si>
    <t>19</t>
  </si>
  <si>
    <t>-1956.4</t>
  </si>
  <si>
    <t>-3766.9</t>
  </si>
  <si>
    <t>1810.5</t>
  </si>
  <si>
    <t>-39.30%</t>
  </si>
  <si>
    <t>-36.40%</t>
  </si>
  <si>
    <t>421.3</t>
  </si>
  <si>
    <t>8.50%</t>
  </si>
  <si>
    <t>KB09119-10_black</t>
  </si>
  <si>
    <t>766815.2</t>
  </si>
  <si>
    <t>11234</t>
  </si>
  <si>
    <t>68.3</t>
  </si>
  <si>
    <t>51578.3</t>
  </si>
  <si>
    <t>121298.7</t>
  </si>
  <si>
    <t>16.10%</t>
  </si>
  <si>
    <t>KB05114_gray</t>
  </si>
  <si>
    <t>58226</t>
  </si>
  <si>
    <t>1043</t>
  </si>
  <si>
    <t>55.8</t>
  </si>
  <si>
    <t>557.8</t>
  </si>
  <si>
    <t>1.00%</t>
  </si>
  <si>
    <t>7046.1</t>
  </si>
  <si>
    <t>12.10%</t>
  </si>
  <si>
    <t>KB01103_black</t>
  </si>
  <si>
    <t>52864.9</t>
  </si>
  <si>
    <t>171625.6</t>
  </si>
  <si>
    <t>-118760.7</t>
  </si>
  <si>
    <t>1706</t>
  </si>
  <si>
    <t>5921</t>
  </si>
  <si>
    <t>-4215</t>
  </si>
  <si>
    <t>31</t>
  </si>
  <si>
    <t>29</t>
  </si>
  <si>
    <t>10120.9</t>
  </si>
  <si>
    <t>9914.7</t>
  </si>
  <si>
    <t>206.2</t>
  </si>
  <si>
    <t>19.20%</t>
  </si>
  <si>
    <t>5.70%</t>
  </si>
  <si>
    <t>1707.6</t>
  </si>
  <si>
    <t>3.20%</t>
  </si>
  <si>
    <t>KB002_blue</t>
    <phoneticPr fontId="23" type="noConversion"/>
  </si>
  <si>
    <t>116138.7</t>
  </si>
  <si>
    <t>2913</t>
  </si>
  <si>
    <t>39.9</t>
  </si>
  <si>
    <t>13606.7</t>
  </si>
  <si>
    <t>8594.4</t>
  </si>
  <si>
    <t>KB01105_gray</t>
  </si>
  <si>
    <t>294581.2</t>
  </si>
  <si>
    <t>8637</t>
  </si>
  <si>
    <t>46181.7</t>
  </si>
  <si>
    <t>15.80%</t>
  </si>
  <si>
    <t>37744</t>
  </si>
  <si>
    <t>12.90%</t>
  </si>
  <si>
    <t>16206.9</t>
  </si>
  <si>
    <t>284</t>
  </si>
  <si>
    <t>57.1</t>
  </si>
  <si>
    <t>-2658.4</t>
  </si>
  <si>
    <t>-16.80%</t>
  </si>
  <si>
    <t>1261.8</t>
  </si>
  <si>
    <t>8.00%</t>
  </si>
  <si>
    <t>50360.5</t>
  </si>
  <si>
    <t>271241.2</t>
  </si>
  <si>
    <t>-220880.7</t>
  </si>
  <si>
    <t>1197</t>
  </si>
  <si>
    <t>4072</t>
  </si>
  <si>
    <t>-2875</t>
  </si>
  <si>
    <t>66.6</t>
  </si>
  <si>
    <t>662.5</t>
  </si>
  <si>
    <t>33813.8</t>
  </si>
  <si>
    <t>-33151.3</t>
  </si>
  <si>
    <t>1920.7</t>
  </si>
  <si>
    <t>3.60%</t>
  </si>
  <si>
    <t>KB06006_black</t>
  </si>
  <si>
    <t>21474.4</t>
  </si>
  <si>
    <t>681</t>
  </si>
  <si>
    <t>31.5</t>
  </si>
  <si>
    <t>-4184.6</t>
  </si>
  <si>
    <t>-20.90%</t>
  </si>
  <si>
    <t>5174.2</t>
  </si>
  <si>
    <t>25.80%</t>
  </si>
  <si>
    <t>612554.4</t>
  </si>
  <si>
    <t>489635.8</t>
  </si>
  <si>
    <t>122918.6</t>
  </si>
  <si>
    <t>7825</t>
  </si>
  <si>
    <t>1904</t>
  </si>
  <si>
    <t>78.3</t>
  </si>
  <si>
    <t>82.7</t>
  </si>
  <si>
    <t>113183.7</t>
  </si>
  <si>
    <t>77559.2</t>
  </si>
  <si>
    <t>35624.5</t>
  </si>
  <si>
    <t>18.60%</t>
  </si>
  <si>
    <t>55246.6</t>
  </si>
  <si>
    <t>9.10%</t>
  </si>
  <si>
    <t>KB404-11S_white</t>
    <phoneticPr fontId="23" type="noConversion"/>
  </si>
  <si>
    <t>8893.6</t>
  </si>
  <si>
    <t>161</t>
  </si>
  <si>
    <t>55.2</t>
  </si>
  <si>
    <t>1756</t>
  </si>
  <si>
    <t>23.00%</t>
  </si>
  <si>
    <t>267.8</t>
  </si>
  <si>
    <t>3.50%</t>
  </si>
  <si>
    <t>KB04112_gray</t>
  </si>
  <si>
    <t>382858.4</t>
  </si>
  <si>
    <t>170566.9</t>
  </si>
  <si>
    <t>212291.5</t>
  </si>
  <si>
    <t>7776</t>
  </si>
  <si>
    <t>3409</t>
  </si>
  <si>
    <t>4367</t>
  </si>
  <si>
    <t>49.2</t>
  </si>
  <si>
    <t>50</t>
  </si>
  <si>
    <t>14596.1</t>
  </si>
  <si>
    <t>8385.4</t>
  </si>
  <si>
    <t>6210.7</t>
  </si>
  <si>
    <t>3.80%</t>
  </si>
  <si>
    <t>33156.8</t>
  </si>
  <si>
    <t>8.70%</t>
  </si>
  <si>
    <t>KB04122_blue</t>
  </si>
  <si>
    <t>1170650.7</t>
  </si>
  <si>
    <t>69650.2</t>
  </si>
  <si>
    <t>1101000.5</t>
  </si>
  <si>
    <t>22334</t>
  </si>
  <si>
    <t>1372</t>
  </si>
  <si>
    <t>20962</t>
  </si>
  <si>
    <t>52.4</t>
  </si>
  <si>
    <t>242873.9</t>
  </si>
  <si>
    <t>6102.7</t>
  </si>
  <si>
    <t>236771.2</t>
  </si>
  <si>
    <t>20.90%</t>
  </si>
  <si>
    <t>8.60%</t>
  </si>
  <si>
    <t>8027.8</t>
  </si>
  <si>
    <t>0.70%</t>
  </si>
  <si>
    <t>102125.9</t>
  </si>
  <si>
    <t>5529</t>
  </si>
  <si>
    <t>18.5</t>
  </si>
  <si>
    <t>-2554.5</t>
  </si>
  <si>
    <t>-2.60%</t>
  </si>
  <si>
    <t>22112.9</t>
  </si>
  <si>
    <t>22.10%</t>
  </si>
  <si>
    <t>KB02027_black</t>
  </si>
  <si>
    <t>143675.6</t>
  </si>
  <si>
    <t>19119.8</t>
  </si>
  <si>
    <t>124555.8</t>
  </si>
  <si>
    <t>2702</t>
  </si>
  <si>
    <t>368</t>
  </si>
  <si>
    <t>2334</t>
  </si>
  <si>
    <t>52</t>
  </si>
  <si>
    <t>16788.8</t>
  </si>
  <si>
    <t>1665.1</t>
  </si>
  <si>
    <t>15123.7</t>
  </si>
  <si>
    <t>11.50%</t>
  </si>
  <si>
    <t>3809.6</t>
  </si>
  <si>
    <t>KB05114_black</t>
  </si>
  <si>
    <t>162033.5</t>
  </si>
  <si>
    <t>16052.9</t>
  </si>
  <si>
    <t>145980.6</t>
  </si>
  <si>
    <t>2518</t>
  </si>
  <si>
    <t>255</t>
  </si>
  <si>
    <t>2263</t>
  </si>
  <si>
    <t>64.4</t>
  </si>
  <si>
    <t>63</t>
  </si>
  <si>
    <t>18764.8</t>
  </si>
  <si>
    <t>833.3</t>
  </si>
  <si>
    <t>17931.5</t>
  </si>
  <si>
    <t>5.00%</t>
  </si>
  <si>
    <t>12016.1</t>
  </si>
  <si>
    <t>KB01003_white</t>
  </si>
  <si>
    <t>2940.3</t>
  </si>
  <si>
    <t>171</t>
  </si>
  <si>
    <t>17.2</t>
  </si>
  <si>
    <t>336.2</t>
  </si>
  <si>
    <t>151.2</t>
  </si>
  <si>
    <t>5.60%</t>
  </si>
  <si>
    <t>KB04122_white</t>
  </si>
  <si>
    <t>960655</t>
  </si>
  <si>
    <t>17378</t>
  </si>
  <si>
    <t>55.3</t>
  </si>
  <si>
    <t>205601.9</t>
  </si>
  <si>
    <t>10474.2</t>
  </si>
  <si>
    <t>1.10%</t>
  </si>
  <si>
    <t>KB09121_black gray</t>
  </si>
  <si>
    <t>43270.3</t>
  </si>
  <si>
    <t>5831.5</t>
  </si>
  <si>
    <t>37438.8</t>
  </si>
  <si>
    <t>653</t>
  </si>
  <si>
    <t>65</t>
  </si>
  <si>
    <t>588</t>
  </si>
  <si>
    <t>66.3</t>
  </si>
  <si>
    <t>89.7</t>
  </si>
  <si>
    <t>-12615</t>
  </si>
  <si>
    <t>-2465</t>
  </si>
  <si>
    <t>-10150</t>
  </si>
  <si>
    <t>-29.70%</t>
  </si>
  <si>
    <t>-43.50%</t>
  </si>
  <si>
    <t>6311.4</t>
  </si>
  <si>
    <t>KB05113_gray</t>
  </si>
  <si>
    <t>37756.4</t>
  </si>
  <si>
    <t>196011.5</t>
  </si>
  <si>
    <t>-158255.1</t>
  </si>
  <si>
    <t>670</t>
  </si>
  <si>
    <t>3288</t>
  </si>
  <si>
    <t>-2618</t>
  </si>
  <si>
    <t>56.4</t>
  </si>
  <si>
    <t>59.6</t>
  </si>
  <si>
    <t>283.8</t>
  </si>
  <si>
    <t>14342.4</t>
  </si>
  <si>
    <t>-14058.6</t>
  </si>
  <si>
    <t>7.20%</t>
  </si>
  <si>
    <t>4805.9</t>
  </si>
  <si>
    <t>12.50%</t>
  </si>
  <si>
    <t>KB403-10_gray</t>
    <phoneticPr fontId="23" type="noConversion"/>
  </si>
  <si>
    <t>18589.6</t>
  </si>
  <si>
    <t>269</t>
  </si>
  <si>
    <t>69.1</t>
  </si>
  <si>
    <t>826.4</t>
  </si>
  <si>
    <t>4.70%</t>
  </si>
  <si>
    <t>4547.4</t>
  </si>
  <si>
    <t>26.10%</t>
  </si>
  <si>
    <t>KB09119_blue</t>
  </si>
  <si>
    <t>132417.1</t>
  </si>
  <si>
    <t>1803</t>
  </si>
  <si>
    <t>73.4</t>
  </si>
  <si>
    <t>33620</t>
  </si>
  <si>
    <t>26.20%</t>
  </si>
  <si>
    <t>0.6</t>
  </si>
  <si>
    <t>KB04111_black</t>
  </si>
  <si>
    <t>238826</t>
  </si>
  <si>
    <t>239976.1</t>
  </si>
  <si>
    <t>-1150.1</t>
  </si>
  <si>
    <t>4844</t>
  </si>
  <si>
    <t>4470</t>
  </si>
  <si>
    <t>374</t>
  </si>
  <si>
    <t>49.3</t>
  </si>
  <si>
    <t>53.7</t>
  </si>
  <si>
    <t>27941.9</t>
  </si>
  <si>
    <t>39955.2</t>
  </si>
  <si>
    <t>-12013.3</t>
  </si>
  <si>
    <t>11.70%</t>
  </si>
  <si>
    <t>16.50%</t>
  </si>
  <si>
    <t>1186.6</t>
  </si>
  <si>
    <t>KB04111_purple</t>
  </si>
  <si>
    <t>197467.7</t>
  </si>
  <si>
    <t>344915.5</t>
  </si>
  <si>
    <t>-147447.8</t>
  </si>
  <si>
    <t>4167</t>
  </si>
  <si>
    <t>6614</t>
  </si>
  <si>
    <t>-2447</t>
  </si>
  <si>
    <t>47.4</t>
  </si>
  <si>
    <t>52.1</t>
  </si>
  <si>
    <t>19911</t>
  </si>
  <si>
    <t>52598</t>
  </si>
  <si>
    <t>-32687</t>
  </si>
  <si>
    <t>10.00%</t>
  </si>
  <si>
    <t>15.00%</t>
  </si>
  <si>
    <t>259</t>
  </si>
  <si>
    <t>37630.2</t>
  </si>
  <si>
    <t>712</t>
  </si>
  <si>
    <t>52.9</t>
  </si>
  <si>
    <t>3523.2</t>
  </si>
  <si>
    <t>4439.1</t>
  </si>
  <si>
    <t>13.30%</t>
  </si>
  <si>
    <t>KB02027_gray</t>
  </si>
  <si>
    <t>400806.9</t>
  </si>
  <si>
    <t>443288.9</t>
  </si>
  <si>
    <t>-42482</t>
  </si>
  <si>
    <t>7526</t>
  </si>
  <si>
    <t>7948</t>
  </si>
  <si>
    <t>-422</t>
  </si>
  <si>
    <t>30662.5</t>
  </si>
  <si>
    <t>41920.9</t>
  </si>
  <si>
    <t>-11258.4</t>
  </si>
  <si>
    <t>9.40%</t>
  </si>
  <si>
    <t>40913.2</t>
  </si>
  <si>
    <t>KB04122_purple</t>
  </si>
  <si>
    <t>488561.8</t>
  </si>
  <si>
    <t>93850.9</t>
  </si>
  <si>
    <t>394710.9</t>
  </si>
  <si>
    <t>9816</t>
  </si>
  <si>
    <t>1765</t>
  </si>
  <si>
    <t>8051</t>
  </si>
  <si>
    <t>49.8</t>
  </si>
  <si>
    <t>82057.2</t>
  </si>
  <si>
    <t>11240.4</t>
  </si>
  <si>
    <t>70816.8</t>
  </si>
  <si>
    <t>16.90%</t>
  </si>
  <si>
    <t>2206.1</t>
  </si>
  <si>
    <t>KB04122_gray</t>
  </si>
  <si>
    <t>4382048.2</t>
  </si>
  <si>
    <t>1077226.2</t>
  </si>
  <si>
    <t>3304822</t>
  </si>
  <si>
    <t>84697</t>
  </si>
  <si>
    <t>19700</t>
  </si>
  <si>
    <t>64997</t>
  </si>
  <si>
    <t>51.7</t>
  </si>
  <si>
    <t>54.7</t>
  </si>
  <si>
    <t>549224.2</t>
  </si>
  <si>
    <t>99348.1</t>
  </si>
  <si>
    <t>449876.1</t>
  </si>
  <si>
    <t>374651.3</t>
  </si>
  <si>
    <t>39076.4</t>
  </si>
  <si>
    <t>140535.8</t>
  </si>
  <si>
    <t>-101459.4</t>
  </si>
  <si>
    <t>453</t>
  </si>
  <si>
    <t>1685</t>
  </si>
  <si>
    <t>-1232</t>
  </si>
  <si>
    <t>86.3</t>
  </si>
  <si>
    <t>83.4</t>
  </si>
  <si>
    <t>2370.3</t>
  </si>
  <si>
    <t>1822.7</t>
  </si>
  <si>
    <t>547.6</t>
  </si>
  <si>
    <t>3010.8</t>
  </si>
  <si>
    <t>7.80%</t>
  </si>
  <si>
    <t>KB002_black</t>
    <phoneticPr fontId="23" type="noConversion"/>
  </si>
  <si>
    <t>404384.4</t>
  </si>
  <si>
    <t>10137</t>
  </si>
  <si>
    <t>7745.3</t>
  </si>
  <si>
    <t>2.00%</t>
  </si>
  <si>
    <t>74897</t>
  </si>
  <si>
    <t>19.00%</t>
  </si>
  <si>
    <t>KB04122_red</t>
    <phoneticPr fontId="23" type="noConversion"/>
  </si>
  <si>
    <t>33208</t>
  </si>
  <si>
    <t>659</t>
  </si>
  <si>
    <t>50.4</t>
  </si>
  <si>
    <t>3241.9</t>
  </si>
  <si>
    <t>11.40%</t>
  </si>
  <si>
    <t>3497.9</t>
  </si>
  <si>
    <t>BK2007-RGB_black</t>
  </si>
  <si>
    <t>211956.7</t>
  </si>
  <si>
    <t>108906.6</t>
  </si>
  <si>
    <t>103050.1</t>
  </si>
  <si>
    <t>5081</t>
  </si>
  <si>
    <t>2423</t>
  </si>
  <si>
    <t>2658</t>
  </si>
  <si>
    <t>41.7</t>
  </si>
  <si>
    <t>44.9</t>
  </si>
  <si>
    <t>28948.3</t>
  </si>
  <si>
    <t>2316.8</t>
  </si>
  <si>
    <t>26631.5</t>
  </si>
  <si>
    <t>13.70%</t>
  </si>
  <si>
    <t>2.10%</t>
  </si>
  <si>
    <t>6045.4</t>
  </si>
  <si>
    <t>2.90%</t>
  </si>
  <si>
    <t>KB04002_purple</t>
  </si>
  <si>
    <t>72327.6</t>
  </si>
  <si>
    <t>87160.2</t>
  </si>
  <si>
    <t>-14832.6</t>
  </si>
  <si>
    <t>2104</t>
  </si>
  <si>
    <t>2395</t>
  </si>
  <si>
    <t>-291</t>
  </si>
  <si>
    <t>34.4</t>
  </si>
  <si>
    <t>36.4</t>
  </si>
  <si>
    <t>6208</t>
  </si>
  <si>
    <t>4597.1</t>
  </si>
  <si>
    <t>1610.9</t>
  </si>
  <si>
    <t>5.20%</t>
  </si>
  <si>
    <t>KB04112_blue</t>
  </si>
  <si>
    <t>78800.6</t>
  </si>
  <si>
    <t>1647</t>
  </si>
  <si>
    <t>47.8</t>
  </si>
  <si>
    <t>7835.9</t>
  </si>
  <si>
    <t>9.90%</t>
  </si>
  <si>
    <t>100.3</t>
  </si>
  <si>
    <t>KB04111_gray</t>
  </si>
  <si>
    <t>457704.4</t>
  </si>
  <si>
    <t>1127729.6</t>
  </si>
  <si>
    <t>-670025.2</t>
  </si>
  <si>
    <t>9416</t>
  </si>
  <si>
    <t>21721</t>
  </si>
  <si>
    <t>-12305</t>
  </si>
  <si>
    <t>48.6</t>
  </si>
  <si>
    <t>-9799.4</t>
  </si>
  <si>
    <t>39289.8</t>
  </si>
  <si>
    <t>-49089.2</t>
  </si>
  <si>
    <t>-2.10%</t>
  </si>
  <si>
    <t>3.40%</t>
  </si>
  <si>
    <t>61247.3</t>
  </si>
  <si>
    <t>KB04122-11_gray</t>
  </si>
  <si>
    <t>83690.6</t>
  </si>
  <si>
    <t>9976.6</t>
  </si>
  <si>
    <t>73714</t>
  </si>
  <si>
    <t>1901</t>
  </si>
  <si>
    <t>196</t>
  </si>
  <si>
    <t>1705</t>
  </si>
  <si>
    <t>44</t>
  </si>
  <si>
    <t>50.9</t>
  </si>
  <si>
    <t>-6056.7</t>
  </si>
  <si>
    <t>-2395</t>
  </si>
  <si>
    <t>-3661.7</t>
  </si>
  <si>
    <t>-7.20%</t>
  </si>
  <si>
    <t>-23.60%</t>
  </si>
  <si>
    <t>1505.4</t>
  </si>
  <si>
    <t>1.80%</t>
  </si>
  <si>
    <t>KB02017_dark gray</t>
  </si>
  <si>
    <t>764.1</t>
  </si>
  <si>
    <t>8451</t>
  </si>
  <si>
    <t>-7686.9</t>
  </si>
  <si>
    <t>30</t>
  </si>
  <si>
    <t>319</t>
  </si>
  <si>
    <t>-289</t>
  </si>
  <si>
    <t>25.5</t>
  </si>
  <si>
    <t>26.5</t>
  </si>
  <si>
    <t>-10.4</t>
  </si>
  <si>
    <t>65.5</t>
  </si>
  <si>
    <t>-75.9</t>
  </si>
  <si>
    <t>-1.40%</t>
  </si>
  <si>
    <t>31010.2</t>
  </si>
  <si>
    <t>1468</t>
  </si>
  <si>
    <t>21.1</t>
  </si>
  <si>
    <t>-3533.7</t>
  </si>
  <si>
    <t>-11.50%</t>
  </si>
  <si>
    <t>4018.9</t>
  </si>
  <si>
    <t>kb02017</t>
    <phoneticPr fontId="18" type="noConversion"/>
  </si>
  <si>
    <t>KB04111-11_gray</t>
    <phoneticPr fontId="18" type="noConversion"/>
  </si>
  <si>
    <t>KB04111-11</t>
  </si>
  <si>
    <t>KB09119-11_black</t>
    <phoneticPr fontId="18" type="noConversion"/>
  </si>
  <si>
    <t>KB09119-11</t>
  </si>
  <si>
    <t>KB09119-10</t>
  </si>
  <si>
    <t>KB09119-10</t>
    <phoneticPr fontId="18" type="noConversion"/>
  </si>
  <si>
    <t>KB19117_black</t>
    <phoneticPr fontId="18" type="noConversion"/>
  </si>
  <si>
    <t>KB04002_blue</t>
    <phoneticPr fontId="18" type="noConversion"/>
  </si>
  <si>
    <t>KB04002</t>
  </si>
  <si>
    <t>KB04002</t>
    <phoneticPr fontId="18" type="noConversion"/>
  </si>
  <si>
    <t>KB06004_black</t>
    <phoneticPr fontId="18" type="noConversion"/>
  </si>
  <si>
    <t>KB02026_gray</t>
    <phoneticPr fontId="18" type="noConversion"/>
  </si>
  <si>
    <t>KB04122-11_blue</t>
    <phoneticPr fontId="18" type="noConversion"/>
  </si>
  <si>
    <t>KB04122-11</t>
  </si>
  <si>
    <t>KB04118_blue</t>
    <phoneticPr fontId="18" type="noConversion"/>
  </si>
  <si>
    <t>KB09118_black</t>
    <phoneticPr fontId="18" type="noConversion"/>
  </si>
  <si>
    <t>KB09118</t>
  </si>
  <si>
    <t>BK2009_gray</t>
    <phoneticPr fontId="18" type="noConversion"/>
  </si>
  <si>
    <t>MS02002_black</t>
    <phoneticPr fontId="18" type="noConversion"/>
  </si>
  <si>
    <t>MS02002</t>
  </si>
  <si>
    <t>KB19117</t>
  </si>
  <si>
    <t>KB05111_black</t>
    <phoneticPr fontId="18" type="noConversion"/>
  </si>
  <si>
    <t>KB04118_gray</t>
    <phoneticPr fontId="18" type="noConversion"/>
  </si>
  <si>
    <t>KB01003_gray</t>
    <phoneticPr fontId="18" type="noConversion"/>
  </si>
  <si>
    <t>KB403-10</t>
  </si>
  <si>
    <t>KB09117_black</t>
    <phoneticPr fontId="18" type="noConversion"/>
  </si>
  <si>
    <t>KB09117</t>
  </si>
  <si>
    <t>KB06001_white</t>
    <phoneticPr fontId="18" type="noConversion"/>
  </si>
  <si>
    <t>KB02009</t>
  </si>
  <si>
    <t>BK2006</t>
  </si>
  <si>
    <t>MS02001</t>
  </si>
  <si>
    <t>KB02017</t>
  </si>
  <si>
    <t>KB404-11S</t>
  </si>
  <si>
    <t>KB06004</t>
  </si>
  <si>
    <t>KB603</t>
  </si>
  <si>
    <t>KB02026</t>
  </si>
  <si>
    <t>KB04118</t>
  </si>
  <si>
    <t>KB003-11A</t>
  </si>
  <si>
    <t>KB004</t>
  </si>
  <si>
    <t>BK2009</t>
  </si>
  <si>
    <t>PTC003-11</t>
  </si>
  <si>
    <t>KB05111</t>
  </si>
  <si>
    <t>KB01003</t>
  </si>
  <si>
    <t>KB09121</t>
  </si>
  <si>
    <t>KB06001</t>
  </si>
  <si>
    <t>行标签</t>
  </si>
  <si>
    <t>总计</t>
  </si>
  <si>
    <t>求和项:销售额</t>
  </si>
  <si>
    <t>求和项:销量</t>
  </si>
  <si>
    <t>固件自研</t>
    <phoneticPr fontId="23" type="noConversion"/>
  </si>
  <si>
    <t>最大值项:固件自研</t>
  </si>
  <si>
    <t>自研固件数量</t>
    <phoneticPr fontId="18" type="noConversion"/>
  </si>
  <si>
    <t>总计数</t>
    <phoneticPr fontId="18" type="noConversion"/>
  </si>
  <si>
    <t>自研固件占比</t>
    <phoneticPr fontId="18" type="noConversion"/>
  </si>
  <si>
    <t>自研固件销量占比</t>
    <phoneticPr fontId="18" type="noConversion"/>
  </si>
  <si>
    <t>自研固件销售额占比</t>
    <phoneticPr fontId="18" type="noConversion"/>
  </si>
  <si>
    <t>OTA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</si>
</sst>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000000"/>
      <name val="Segoe UI"/>
      <family val="2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9"/>
      <name val="宋体"/>
      <family val="3"/>
      <charset val="134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DBAB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/>
  </cellStyleXfs>
  <cellXfs count="20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14" fontId="20" fillId="0" borderId="0" xfId="0" applyNumberFormat="1" applyFont="1">
      <alignment vertical="center"/>
    </xf>
    <xf numFmtId="14" fontId="0" fillId="0" borderId="10" xfId="0" applyNumberForma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2" fillId="0" borderId="0" xfId="42" applyFont="1"/>
    <xf numFmtId="0" fontId="24" fillId="33" borderId="11" xfId="42" applyFont="1" applyFill="1" applyBorder="1" applyAlignment="1">
      <alignment horizontal="center" vertical="center"/>
    </xf>
    <xf numFmtId="0" fontId="21" fillId="0" borderId="0" xfId="42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24" fillId="33" borderId="11" xfId="42" applyNumberFormat="1" applyFont="1" applyFill="1" applyBorder="1" applyAlignment="1">
      <alignment horizontal="center" vertical="center"/>
    </xf>
    <xf numFmtId="176" fontId="21" fillId="0" borderId="0" xfId="42" applyNumberFormat="1"/>
    <xf numFmtId="0" fontId="20" fillId="0" borderId="0" xfId="0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794E6AB7-B545-4703-B672-F8B63CEDBC53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" refreshedDate="46020.704621990742" createdVersion="8" refreshedVersion="8" minRefreshableVersion="3" recordCount="78" xr:uid="{699D3875-9F4B-4881-B024-FA2E72E0DA30}">
  <cacheSource type="worksheet">
    <worksheetSource ref="B1:E79" sheet="固件销量表"/>
  </cacheSource>
  <cacheFields count="4">
    <cacheField name="产品" numFmtId="0">
      <sharedItems count="48">
        <s v="KB01104"/>
        <s v="KB04122"/>
        <s v="KB04122-13A"/>
        <s v="KB02009"/>
        <s v="BK2006"/>
        <s v="MS02001"/>
        <s v="KB602"/>
        <s v="KB02017"/>
        <s v="BK2007"/>
        <s v="KB04111-11"/>
        <s v="KB09119-11"/>
        <s v="KB09119-10"/>
        <s v="KB04002"/>
        <s v="KB404-11S"/>
        <s v="KB06004"/>
        <s v="KB603"/>
        <s v="KB06103"/>
        <s v="KB02026"/>
        <s v="KB002"/>
        <s v="KB04122-11"/>
        <s v="KB09119"/>
        <s v="KB06007"/>
        <s v="KB04118"/>
        <s v="BK2007-13"/>
        <s v="KB003-11A"/>
        <s v="KB004"/>
        <s v="KB09118"/>
        <s v="BK2009"/>
        <s v="KB02028"/>
        <s v="KB06101"/>
        <s v="MS02002"/>
        <s v="PTC003-11"/>
        <s v="KB05114"/>
        <s v="KB01103"/>
        <s v="KB01105"/>
        <s v="KB19117"/>
        <s v="KB05111"/>
        <s v="KB06006"/>
        <s v="KB04112"/>
        <s v="KB01003"/>
        <s v="KB02027"/>
        <s v="KB09121"/>
        <s v="KB05113"/>
        <s v="KB403-10"/>
        <s v="KB04111"/>
        <s v="KB09117"/>
        <s v="BK2007-RGB"/>
        <s v="KB06001"/>
      </sharedItems>
    </cacheField>
    <cacheField name="固件自研" numFmtId="0">
      <sharedItems containsSemiMixedTypes="0" containsString="0" containsNumber="1" containsInteger="1" minValue="0" maxValue="1"/>
    </cacheField>
    <cacheField name="销售额" numFmtId="0">
      <sharedItems containsSemiMixedTypes="0" containsString="0" containsNumber="1" minValue="28.1" maxValue="4382048.2"/>
    </cacheField>
    <cacheField name="销量" numFmtId="0">
      <sharedItems containsSemiMixedTypes="0" containsString="0" containsNumber="1" containsInteger="1" minValue="1" maxValue="84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1"/>
    <n v="179074.6"/>
    <n v="4010"/>
  </r>
  <r>
    <x v="1"/>
    <n v="1"/>
    <n v="65094.5"/>
    <n v="1174"/>
  </r>
  <r>
    <x v="2"/>
    <n v="1"/>
    <n v="693.4"/>
    <n v="13"/>
  </r>
  <r>
    <x v="3"/>
    <n v="0"/>
    <n v="43462.3"/>
    <n v="1142"/>
  </r>
  <r>
    <x v="4"/>
    <n v="0"/>
    <n v="430891.4"/>
    <n v="13330"/>
  </r>
  <r>
    <x v="5"/>
    <n v="0"/>
    <n v="31798"/>
    <n v="2141"/>
  </r>
  <r>
    <x v="6"/>
    <n v="1"/>
    <n v="56219.8"/>
    <n v="1576"/>
  </r>
  <r>
    <x v="7"/>
    <n v="1"/>
    <n v="37.200000000000003"/>
    <n v="1"/>
  </r>
  <r>
    <x v="8"/>
    <n v="1"/>
    <n v="184652.2"/>
    <n v="5323"/>
  </r>
  <r>
    <x v="9"/>
    <n v="1"/>
    <n v="36842"/>
    <n v="769"/>
  </r>
  <r>
    <x v="10"/>
    <n v="1"/>
    <n v="8869.7000000000007"/>
    <n v="213"/>
  </r>
  <r>
    <x v="11"/>
    <n v="1"/>
    <n v="232820.8"/>
    <n v="3323"/>
  </r>
  <r>
    <x v="12"/>
    <n v="1"/>
    <n v="81139.899999999994"/>
    <n v="2261"/>
  </r>
  <r>
    <x v="13"/>
    <n v="0"/>
    <n v="298640.59999999998"/>
    <n v="5610"/>
  </r>
  <r>
    <x v="8"/>
    <n v="1"/>
    <n v="1026343.8"/>
    <n v="29034"/>
  </r>
  <r>
    <x v="14"/>
    <n v="0"/>
    <n v="69173.7"/>
    <n v="1922"/>
  </r>
  <r>
    <x v="8"/>
    <n v="1"/>
    <n v="247933.7"/>
    <n v="7057"/>
  </r>
  <r>
    <x v="15"/>
    <n v="0"/>
    <n v="13034.4"/>
    <n v="413"/>
  </r>
  <r>
    <x v="12"/>
    <n v="1"/>
    <n v="665806.9"/>
    <n v="19546"/>
  </r>
  <r>
    <x v="1"/>
    <n v="1"/>
    <n v="165998.9"/>
    <n v="2930"/>
  </r>
  <r>
    <x v="16"/>
    <n v="1"/>
    <n v="26924.3"/>
    <n v="640"/>
  </r>
  <r>
    <x v="17"/>
    <n v="0"/>
    <n v="78232.899999999994"/>
    <n v="1323"/>
  </r>
  <r>
    <x v="18"/>
    <n v="1"/>
    <n v="69924.399999999994"/>
    <n v="1695"/>
  </r>
  <r>
    <x v="11"/>
    <n v="1"/>
    <n v="140350.9"/>
    <n v="2065"/>
  </r>
  <r>
    <x v="19"/>
    <n v="1"/>
    <n v="26153.3"/>
    <n v="662"/>
  </r>
  <r>
    <x v="20"/>
    <n v="1"/>
    <n v="190516.1"/>
    <n v="2463"/>
  </r>
  <r>
    <x v="21"/>
    <n v="1"/>
    <n v="94934.5"/>
    <n v="2345"/>
  </r>
  <r>
    <x v="22"/>
    <n v="0"/>
    <n v="125249.1"/>
    <n v="1691"/>
  </r>
  <r>
    <x v="23"/>
    <n v="1"/>
    <n v="454203.7"/>
    <n v="7256"/>
  </r>
  <r>
    <x v="24"/>
    <n v="0"/>
    <n v="72303.899999999994"/>
    <n v="2123"/>
  </r>
  <r>
    <x v="8"/>
    <n v="1"/>
    <n v="126657.7"/>
    <n v="3627"/>
  </r>
  <r>
    <x v="1"/>
    <n v="1"/>
    <n v="537819.19999999995"/>
    <n v="9390"/>
  </r>
  <r>
    <x v="20"/>
    <n v="1"/>
    <n v="1195612.5"/>
    <n v="15798"/>
  </r>
  <r>
    <x v="25"/>
    <n v="0"/>
    <n v="56257.2"/>
    <n v="1378"/>
  </r>
  <r>
    <x v="8"/>
    <n v="1"/>
    <n v="372945.9"/>
    <n v="10881"/>
  </r>
  <r>
    <x v="26"/>
    <n v="1"/>
    <n v="72550.3"/>
    <n v="703"/>
  </r>
  <r>
    <x v="27"/>
    <n v="0"/>
    <n v="28.1"/>
    <n v="11"/>
  </r>
  <r>
    <x v="28"/>
    <n v="1"/>
    <n v="200006"/>
    <n v="5248"/>
  </r>
  <r>
    <x v="29"/>
    <n v="1"/>
    <n v="76863.100000000006"/>
    <n v="2689"/>
  </r>
  <r>
    <x v="30"/>
    <n v="1"/>
    <n v="1354.6"/>
    <n v="97"/>
  </r>
  <r>
    <x v="31"/>
    <n v="0"/>
    <n v="4798.1000000000004"/>
    <n v="309"/>
  </r>
  <r>
    <x v="11"/>
    <n v="1"/>
    <n v="766815.2"/>
    <n v="11234"/>
  </r>
  <r>
    <x v="32"/>
    <n v="1"/>
    <n v="58226"/>
    <n v="1043"/>
  </r>
  <r>
    <x v="33"/>
    <n v="1"/>
    <n v="52864.9"/>
    <n v="1706"/>
  </r>
  <r>
    <x v="18"/>
    <n v="1"/>
    <n v="116138.7"/>
    <n v="2913"/>
  </r>
  <r>
    <x v="34"/>
    <n v="1"/>
    <n v="294581.2"/>
    <n v="8637"/>
  </r>
  <r>
    <x v="35"/>
    <n v="1"/>
    <n v="16206.9"/>
    <n v="284"/>
  </r>
  <r>
    <x v="36"/>
    <n v="0"/>
    <n v="50360.5"/>
    <n v="1197"/>
  </r>
  <r>
    <x v="37"/>
    <n v="1"/>
    <n v="21474.400000000001"/>
    <n v="681"/>
  </r>
  <r>
    <x v="22"/>
    <n v="0"/>
    <n v="612554.4"/>
    <n v="7825"/>
  </r>
  <r>
    <x v="13"/>
    <n v="0"/>
    <n v="8893.6"/>
    <n v="161"/>
  </r>
  <r>
    <x v="38"/>
    <n v="1"/>
    <n v="382858.4"/>
    <n v="7776"/>
  </r>
  <r>
    <x v="1"/>
    <n v="1"/>
    <n v="1170650.7"/>
    <n v="22334"/>
  </r>
  <r>
    <x v="39"/>
    <n v="0"/>
    <n v="102125.9"/>
    <n v="5529"/>
  </r>
  <r>
    <x v="40"/>
    <n v="1"/>
    <n v="143675.6"/>
    <n v="2702"/>
  </r>
  <r>
    <x v="32"/>
    <n v="1"/>
    <n v="162033.5"/>
    <n v="2518"/>
  </r>
  <r>
    <x v="39"/>
    <n v="0"/>
    <n v="2940.3"/>
    <n v="171"/>
  </r>
  <r>
    <x v="1"/>
    <n v="1"/>
    <n v="960655"/>
    <n v="17378"/>
  </r>
  <r>
    <x v="41"/>
    <n v="0"/>
    <n v="43270.3"/>
    <n v="653"/>
  </r>
  <r>
    <x v="42"/>
    <n v="1"/>
    <n v="37756.400000000001"/>
    <n v="670"/>
  </r>
  <r>
    <x v="43"/>
    <n v="1"/>
    <n v="18589.599999999999"/>
    <n v="269"/>
  </r>
  <r>
    <x v="20"/>
    <n v="1"/>
    <n v="132417.1"/>
    <n v="1803"/>
  </r>
  <r>
    <x v="44"/>
    <n v="1"/>
    <n v="238826"/>
    <n v="4844"/>
  </r>
  <r>
    <x v="44"/>
    <n v="1"/>
    <n v="197467.7"/>
    <n v="4167"/>
  </r>
  <r>
    <x v="6"/>
    <n v="1"/>
    <n v="37630.199999999997"/>
    <n v="712"/>
  </r>
  <r>
    <x v="40"/>
    <n v="1"/>
    <n v="400806.9"/>
    <n v="7526"/>
  </r>
  <r>
    <x v="1"/>
    <n v="1"/>
    <n v="488561.8"/>
    <n v="9816"/>
  </r>
  <r>
    <x v="1"/>
    <n v="1"/>
    <n v="4382048.2"/>
    <n v="84697"/>
  </r>
  <r>
    <x v="45"/>
    <n v="1"/>
    <n v="39076.400000000001"/>
    <n v="453"/>
  </r>
  <r>
    <x v="18"/>
    <n v="1"/>
    <n v="404384.4"/>
    <n v="10137"/>
  </r>
  <r>
    <x v="1"/>
    <n v="1"/>
    <n v="33208"/>
    <n v="659"/>
  </r>
  <r>
    <x v="46"/>
    <n v="1"/>
    <n v="211956.7"/>
    <n v="5081"/>
  </r>
  <r>
    <x v="12"/>
    <n v="1"/>
    <n v="72327.600000000006"/>
    <n v="2104"/>
  </r>
  <r>
    <x v="38"/>
    <n v="1"/>
    <n v="78800.600000000006"/>
    <n v="1647"/>
  </r>
  <r>
    <x v="44"/>
    <n v="1"/>
    <n v="457704.4"/>
    <n v="9416"/>
  </r>
  <r>
    <x v="19"/>
    <n v="1"/>
    <n v="83690.600000000006"/>
    <n v="1901"/>
  </r>
  <r>
    <x v="7"/>
    <n v="1"/>
    <n v="764.1"/>
    <n v="30"/>
  </r>
  <r>
    <x v="47"/>
    <n v="0"/>
    <n v="31010.2"/>
    <n v="14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A2576-D744-4AD2-8ADF-A4EE79798F2A}" name="数据透视表2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D50" firstHeaderRow="0" firstDataRow="1" firstDataCol="1"/>
  <pivotFields count="4">
    <pivotField axis="axisRow" showAll="0">
      <items count="49">
        <item x="4"/>
        <item x="8"/>
        <item x="23"/>
        <item x="46"/>
        <item x="27"/>
        <item x="18"/>
        <item x="24"/>
        <item x="25"/>
        <item x="39"/>
        <item x="33"/>
        <item x="0"/>
        <item x="34"/>
        <item x="3"/>
        <item x="7"/>
        <item x="17"/>
        <item x="40"/>
        <item x="28"/>
        <item x="12"/>
        <item x="44"/>
        <item x="9"/>
        <item x="38"/>
        <item x="22"/>
        <item x="1"/>
        <item x="19"/>
        <item x="2"/>
        <item x="36"/>
        <item x="42"/>
        <item x="32"/>
        <item x="47"/>
        <item x="14"/>
        <item x="37"/>
        <item x="21"/>
        <item x="29"/>
        <item x="16"/>
        <item x="45"/>
        <item x="26"/>
        <item x="20"/>
        <item x="11"/>
        <item x="10"/>
        <item x="41"/>
        <item x="35"/>
        <item x="43"/>
        <item x="13"/>
        <item x="6"/>
        <item x="15"/>
        <item x="5"/>
        <item x="30"/>
        <item x="3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最大值项:固件自研" fld="1" subtotal="max" baseField="0" baseItem="0"/>
    <dataField name="求和项:销售额" fld="2" baseField="0" baseItem="0"/>
    <dataField name="求和项:销量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90D8-533B-4944-9AEE-3F3C74303F63}">
  <sheetPr filterMode="1"/>
  <dimension ref="A1:J570"/>
  <sheetViews>
    <sheetView topLeftCell="A546" workbookViewId="0">
      <selection activeCell="B1" sqref="B1:F1048576"/>
    </sheetView>
  </sheetViews>
  <sheetFormatPr defaultRowHeight="14.25" x14ac:dyDescent="0.2"/>
  <cols>
    <col min="1" max="1" width="32" customWidth="1"/>
    <col min="2" max="2" width="29" customWidth="1"/>
    <col min="6" max="6" width="11.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1577</v>
      </c>
      <c r="G1" t="s">
        <v>5</v>
      </c>
      <c r="H1" t="s">
        <v>6</v>
      </c>
      <c r="I1" t="s">
        <v>7</v>
      </c>
      <c r="J1" t="s">
        <v>8</v>
      </c>
    </row>
    <row r="2" spans="1:10" ht="16.5" x14ac:dyDescent="0.2">
      <c r="A2" t="s">
        <v>946</v>
      </c>
      <c r="B2" t="s">
        <v>947</v>
      </c>
      <c r="C2" t="s">
        <v>11</v>
      </c>
      <c r="D2" t="s">
        <v>948</v>
      </c>
      <c r="E2">
        <v>240607</v>
      </c>
      <c r="F2" s="7">
        <f t="shared" ref="F2:F15" si="0">DATE(2000+LEFT(E2,2), MID(E2,3,2), RIGHT(E2,2))</f>
        <v>45450</v>
      </c>
      <c r="H2" t="s">
        <v>6</v>
      </c>
      <c r="I2">
        <v>80368</v>
      </c>
      <c r="J2" t="s">
        <v>949</v>
      </c>
    </row>
    <row r="3" spans="1:10" ht="16.5" x14ac:dyDescent="0.2">
      <c r="A3" t="s">
        <v>950</v>
      </c>
      <c r="B3" t="s">
        <v>947</v>
      </c>
      <c r="C3" t="s">
        <v>11</v>
      </c>
      <c r="D3" t="s">
        <v>948</v>
      </c>
      <c r="E3">
        <v>240607</v>
      </c>
      <c r="F3" s="7">
        <f t="shared" si="0"/>
        <v>45450</v>
      </c>
      <c r="H3" t="s">
        <v>6</v>
      </c>
      <c r="I3">
        <v>80392</v>
      </c>
      <c r="J3" t="s">
        <v>951</v>
      </c>
    </row>
    <row r="4" spans="1:10" ht="16.5" x14ac:dyDescent="0.2">
      <c r="A4" t="s">
        <v>952</v>
      </c>
      <c r="B4" t="s">
        <v>947</v>
      </c>
      <c r="C4" t="s">
        <v>20</v>
      </c>
      <c r="D4" t="s">
        <v>948</v>
      </c>
      <c r="E4">
        <v>240607</v>
      </c>
      <c r="F4" s="7">
        <f t="shared" si="0"/>
        <v>45450</v>
      </c>
      <c r="H4" t="s">
        <v>6</v>
      </c>
      <c r="I4">
        <v>80368</v>
      </c>
      <c r="J4" t="s">
        <v>953</v>
      </c>
    </row>
    <row r="5" spans="1:10" ht="16.5" x14ac:dyDescent="0.2">
      <c r="A5" t="s">
        <v>954</v>
      </c>
      <c r="B5" t="s">
        <v>947</v>
      </c>
      <c r="C5" t="s">
        <v>20</v>
      </c>
      <c r="D5" t="s">
        <v>948</v>
      </c>
      <c r="E5">
        <v>240607</v>
      </c>
      <c r="F5" s="7">
        <f t="shared" si="0"/>
        <v>45450</v>
      </c>
      <c r="H5" t="s">
        <v>6</v>
      </c>
      <c r="I5">
        <v>80392</v>
      </c>
      <c r="J5" t="s">
        <v>955</v>
      </c>
    </row>
    <row r="6" spans="1:10" ht="16.5" x14ac:dyDescent="0.2">
      <c r="A6" t="s">
        <v>956</v>
      </c>
      <c r="B6" t="s">
        <v>947</v>
      </c>
      <c r="C6" t="s">
        <v>27</v>
      </c>
      <c r="D6" t="s">
        <v>948</v>
      </c>
      <c r="E6">
        <v>240607</v>
      </c>
      <c r="F6" s="7">
        <f t="shared" si="0"/>
        <v>45450</v>
      </c>
      <c r="H6" t="s">
        <v>6</v>
      </c>
      <c r="I6">
        <v>80368</v>
      </c>
      <c r="J6" t="s">
        <v>957</v>
      </c>
    </row>
    <row r="7" spans="1:10" ht="16.5" x14ac:dyDescent="0.2">
      <c r="A7" t="s">
        <v>958</v>
      </c>
      <c r="B7" t="s">
        <v>1578</v>
      </c>
      <c r="C7" t="s">
        <v>27</v>
      </c>
      <c r="D7" t="s">
        <v>948</v>
      </c>
      <c r="E7">
        <v>240607</v>
      </c>
      <c r="F7" s="7">
        <f t="shared" si="0"/>
        <v>45450</v>
      </c>
      <c r="H7" t="s">
        <v>6</v>
      </c>
      <c r="I7">
        <v>80392</v>
      </c>
      <c r="J7" t="s">
        <v>959</v>
      </c>
    </row>
    <row r="8" spans="1:10" ht="16.5" x14ac:dyDescent="0.2">
      <c r="A8" t="s">
        <v>428</v>
      </c>
      <c r="B8" t="s">
        <v>373</v>
      </c>
      <c r="C8" t="s">
        <v>11</v>
      </c>
      <c r="D8" t="s">
        <v>247</v>
      </c>
      <c r="E8">
        <v>240717</v>
      </c>
      <c r="F8" s="7">
        <f t="shared" si="0"/>
        <v>45490</v>
      </c>
      <c r="H8" t="s">
        <v>6</v>
      </c>
      <c r="I8">
        <v>82272</v>
      </c>
      <c r="J8" t="s">
        <v>429</v>
      </c>
    </row>
    <row r="9" spans="1:10" ht="16.5" x14ac:dyDescent="0.2">
      <c r="A9" t="s">
        <v>430</v>
      </c>
      <c r="B9" t="s">
        <v>373</v>
      </c>
      <c r="C9" t="s">
        <v>20</v>
      </c>
      <c r="D9" t="s">
        <v>247</v>
      </c>
      <c r="E9">
        <v>240717</v>
      </c>
      <c r="F9" s="7">
        <f t="shared" si="0"/>
        <v>45490</v>
      </c>
      <c r="H9" t="s">
        <v>6</v>
      </c>
      <c r="I9">
        <v>82272</v>
      </c>
      <c r="J9" t="s">
        <v>431</v>
      </c>
    </row>
    <row r="10" spans="1:10" ht="16.5" x14ac:dyDescent="0.2">
      <c r="A10" t="s">
        <v>432</v>
      </c>
      <c r="B10" t="s">
        <v>373</v>
      </c>
      <c r="C10" t="s">
        <v>27</v>
      </c>
      <c r="D10" t="s">
        <v>247</v>
      </c>
      <c r="E10">
        <v>240717</v>
      </c>
      <c r="F10" s="7">
        <f t="shared" si="0"/>
        <v>45490</v>
      </c>
      <c r="H10" t="s">
        <v>6</v>
      </c>
      <c r="I10">
        <v>82268</v>
      </c>
      <c r="J10" t="s">
        <v>433</v>
      </c>
    </row>
    <row r="11" spans="1:10" ht="16.5" x14ac:dyDescent="0.2">
      <c r="A11" t="s">
        <v>428</v>
      </c>
      <c r="B11" t="s">
        <v>373</v>
      </c>
      <c r="C11" t="s">
        <v>11</v>
      </c>
      <c r="D11" t="s">
        <v>247</v>
      </c>
      <c r="E11">
        <v>240717</v>
      </c>
      <c r="F11" s="7">
        <f t="shared" si="0"/>
        <v>45490</v>
      </c>
      <c r="H11" t="s">
        <v>6</v>
      </c>
      <c r="I11">
        <v>82272</v>
      </c>
      <c r="J11" t="s">
        <v>446</v>
      </c>
    </row>
    <row r="12" spans="1:10" ht="16.5" x14ac:dyDescent="0.2">
      <c r="A12" t="s">
        <v>430</v>
      </c>
      <c r="B12" t="s">
        <v>373</v>
      </c>
      <c r="C12" t="s">
        <v>20</v>
      </c>
      <c r="D12" t="s">
        <v>247</v>
      </c>
      <c r="E12">
        <v>240717</v>
      </c>
      <c r="F12" s="7">
        <f t="shared" si="0"/>
        <v>45490</v>
      </c>
      <c r="H12" t="s">
        <v>6</v>
      </c>
      <c r="I12">
        <v>82272</v>
      </c>
      <c r="J12" t="s">
        <v>447</v>
      </c>
    </row>
    <row r="13" spans="1:10" ht="16.5" x14ac:dyDescent="0.2">
      <c r="A13" t="s">
        <v>1249</v>
      </c>
      <c r="B13" t="s">
        <v>1250</v>
      </c>
      <c r="C13" t="s">
        <v>11</v>
      </c>
      <c r="D13" t="s">
        <v>570</v>
      </c>
      <c r="E13">
        <v>240725</v>
      </c>
      <c r="F13" s="7">
        <f t="shared" si="0"/>
        <v>45498</v>
      </c>
      <c r="H13" t="s">
        <v>6</v>
      </c>
      <c r="I13">
        <v>80144</v>
      </c>
      <c r="J13" t="s">
        <v>1251</v>
      </c>
    </row>
    <row r="14" spans="1:10" ht="16.5" x14ac:dyDescent="0.2">
      <c r="A14" t="s">
        <v>1252</v>
      </c>
      <c r="B14" t="s">
        <v>1250</v>
      </c>
      <c r="C14" t="s">
        <v>20</v>
      </c>
      <c r="D14" t="s">
        <v>570</v>
      </c>
      <c r="E14">
        <v>240725</v>
      </c>
      <c r="F14" s="7">
        <f t="shared" si="0"/>
        <v>45498</v>
      </c>
      <c r="H14" t="s">
        <v>6</v>
      </c>
      <c r="I14">
        <v>80144</v>
      </c>
      <c r="J14" t="s">
        <v>1253</v>
      </c>
    </row>
    <row r="15" spans="1:10" ht="16.5" x14ac:dyDescent="0.2">
      <c r="A15" t="s">
        <v>1254</v>
      </c>
      <c r="B15" t="s">
        <v>1250</v>
      </c>
      <c r="C15" t="s">
        <v>27</v>
      </c>
      <c r="D15" t="s">
        <v>570</v>
      </c>
      <c r="E15">
        <v>240725</v>
      </c>
      <c r="F15" s="7">
        <f t="shared" si="0"/>
        <v>45498</v>
      </c>
      <c r="H15" t="s">
        <v>6</v>
      </c>
      <c r="I15">
        <v>80128</v>
      </c>
      <c r="J15" t="s">
        <v>1255</v>
      </c>
    </row>
    <row r="16" spans="1:10" hidden="1" x14ac:dyDescent="0.2">
      <c r="A16" t="s">
        <v>520</v>
      </c>
      <c r="B16" t="s">
        <v>493</v>
      </c>
      <c r="C16" t="s">
        <v>11</v>
      </c>
      <c r="D16" t="s">
        <v>135</v>
      </c>
      <c r="E16">
        <v>240726</v>
      </c>
      <c r="H16" t="s">
        <v>14</v>
      </c>
      <c r="I16">
        <v>80304</v>
      </c>
      <c r="J16" t="s">
        <v>521</v>
      </c>
    </row>
    <row r="17" spans="1:10" hidden="1" x14ac:dyDescent="0.2">
      <c r="A17" t="s">
        <v>522</v>
      </c>
      <c r="B17" t="s">
        <v>493</v>
      </c>
      <c r="C17" t="s">
        <v>20</v>
      </c>
      <c r="D17" t="s">
        <v>135</v>
      </c>
      <c r="E17">
        <v>240726</v>
      </c>
      <c r="H17" t="s">
        <v>14</v>
      </c>
      <c r="I17">
        <v>80304</v>
      </c>
      <c r="J17" t="s">
        <v>523</v>
      </c>
    </row>
    <row r="18" spans="1:10" hidden="1" x14ac:dyDescent="0.2">
      <c r="A18" t="s">
        <v>524</v>
      </c>
      <c r="B18" t="s">
        <v>493</v>
      </c>
      <c r="C18" t="s">
        <v>27</v>
      </c>
      <c r="D18" t="s">
        <v>135</v>
      </c>
      <c r="E18">
        <v>240726</v>
      </c>
      <c r="H18" t="s">
        <v>14</v>
      </c>
      <c r="I18">
        <v>80144</v>
      </c>
      <c r="J18" t="s">
        <v>525</v>
      </c>
    </row>
    <row r="19" spans="1:10" hidden="1" x14ac:dyDescent="0.2">
      <c r="A19" t="s">
        <v>646</v>
      </c>
      <c r="B19" t="s">
        <v>622</v>
      </c>
      <c r="C19" t="s">
        <v>11</v>
      </c>
      <c r="D19" t="s">
        <v>316</v>
      </c>
      <c r="E19">
        <v>240906</v>
      </c>
      <c r="H19" t="s">
        <v>14</v>
      </c>
      <c r="I19">
        <v>80084</v>
      </c>
      <c r="J19" t="s">
        <v>647</v>
      </c>
    </row>
    <row r="20" spans="1:10" hidden="1" x14ac:dyDescent="0.2">
      <c r="A20" t="s">
        <v>648</v>
      </c>
      <c r="B20" t="s">
        <v>622</v>
      </c>
      <c r="C20" t="s">
        <v>144</v>
      </c>
      <c r="D20" t="s">
        <v>316</v>
      </c>
      <c r="E20">
        <v>240906</v>
      </c>
      <c r="H20" t="s">
        <v>14</v>
      </c>
      <c r="I20">
        <v>79932</v>
      </c>
      <c r="J20" t="s">
        <v>649</v>
      </c>
    </row>
    <row r="21" spans="1:10" hidden="1" x14ac:dyDescent="0.2">
      <c r="A21" t="s">
        <v>650</v>
      </c>
      <c r="B21" t="s">
        <v>622</v>
      </c>
      <c r="C21" t="s">
        <v>20</v>
      </c>
      <c r="D21" t="s">
        <v>316</v>
      </c>
      <c r="E21">
        <v>240906</v>
      </c>
      <c r="H21" t="s">
        <v>14</v>
      </c>
      <c r="I21">
        <v>80084</v>
      </c>
      <c r="J21" t="s">
        <v>651</v>
      </c>
    </row>
    <row r="22" spans="1:10" hidden="1" x14ac:dyDescent="0.2">
      <c r="A22" t="s">
        <v>652</v>
      </c>
      <c r="B22" t="s">
        <v>622</v>
      </c>
      <c r="C22" t="s">
        <v>27</v>
      </c>
      <c r="D22" t="s">
        <v>316</v>
      </c>
      <c r="E22">
        <v>240906</v>
      </c>
      <c r="H22" t="s">
        <v>14</v>
      </c>
      <c r="I22">
        <v>79924</v>
      </c>
      <c r="J22" t="s">
        <v>653</v>
      </c>
    </row>
    <row r="23" spans="1:10" hidden="1" x14ac:dyDescent="0.2">
      <c r="A23" t="s">
        <v>557</v>
      </c>
      <c r="B23" t="s">
        <v>533</v>
      </c>
      <c r="C23" t="s">
        <v>11</v>
      </c>
      <c r="D23" t="s">
        <v>558</v>
      </c>
      <c r="E23">
        <v>240909</v>
      </c>
      <c r="H23" t="s">
        <v>14</v>
      </c>
      <c r="I23">
        <v>80384</v>
      </c>
      <c r="J23" t="s">
        <v>559</v>
      </c>
    </row>
    <row r="24" spans="1:10" hidden="1" x14ac:dyDescent="0.2">
      <c r="A24" t="s">
        <v>604</v>
      </c>
      <c r="B24" t="s">
        <v>533</v>
      </c>
      <c r="C24" t="s">
        <v>20</v>
      </c>
      <c r="D24" t="s">
        <v>558</v>
      </c>
      <c r="E24">
        <v>240909</v>
      </c>
      <c r="H24" t="s">
        <v>14</v>
      </c>
      <c r="I24">
        <v>80384</v>
      </c>
      <c r="J24" t="s">
        <v>605</v>
      </c>
    </row>
    <row r="25" spans="1:10" hidden="1" x14ac:dyDescent="0.2">
      <c r="A25" t="s">
        <v>606</v>
      </c>
      <c r="B25" t="s">
        <v>533</v>
      </c>
      <c r="C25" t="s">
        <v>27</v>
      </c>
      <c r="D25" t="s">
        <v>558</v>
      </c>
      <c r="E25">
        <v>240909</v>
      </c>
      <c r="H25" t="s">
        <v>14</v>
      </c>
      <c r="I25">
        <v>80224</v>
      </c>
      <c r="J25" t="s">
        <v>607</v>
      </c>
    </row>
    <row r="26" spans="1:10" hidden="1" x14ac:dyDescent="0.2">
      <c r="A26" t="s">
        <v>448</v>
      </c>
      <c r="B26" t="s">
        <v>449</v>
      </c>
      <c r="C26" t="s">
        <v>11</v>
      </c>
      <c r="D26" t="s">
        <v>450</v>
      </c>
      <c r="E26">
        <v>240911</v>
      </c>
      <c r="H26" t="s">
        <v>14</v>
      </c>
      <c r="I26">
        <v>83804</v>
      </c>
      <c r="J26" t="s">
        <v>451</v>
      </c>
    </row>
    <row r="27" spans="1:10" hidden="1" x14ac:dyDescent="0.2">
      <c r="A27" t="s">
        <v>452</v>
      </c>
      <c r="B27" t="s">
        <v>449</v>
      </c>
      <c r="C27" t="s">
        <v>20</v>
      </c>
      <c r="D27" t="s">
        <v>450</v>
      </c>
      <c r="E27">
        <v>240911</v>
      </c>
      <c r="H27" t="s">
        <v>14</v>
      </c>
      <c r="I27">
        <v>83700</v>
      </c>
      <c r="J27" t="s">
        <v>453</v>
      </c>
    </row>
    <row r="28" spans="1:10" hidden="1" x14ac:dyDescent="0.2">
      <c r="A28" t="s">
        <v>454</v>
      </c>
      <c r="B28" t="s">
        <v>449</v>
      </c>
      <c r="C28" t="s">
        <v>27</v>
      </c>
      <c r="D28" t="s">
        <v>450</v>
      </c>
      <c r="E28">
        <v>240911</v>
      </c>
      <c r="H28" t="s">
        <v>14</v>
      </c>
      <c r="I28">
        <v>83532</v>
      </c>
      <c r="J28" t="s">
        <v>455</v>
      </c>
    </row>
    <row r="29" spans="1:10" ht="16.5" x14ac:dyDescent="0.2">
      <c r="A29" t="s">
        <v>1165</v>
      </c>
      <c r="B29" t="s">
        <v>1123</v>
      </c>
      <c r="C29" t="s">
        <v>11</v>
      </c>
      <c r="D29" t="s">
        <v>1166</v>
      </c>
      <c r="E29">
        <v>240911</v>
      </c>
      <c r="F29" s="7">
        <f t="shared" ref="F29:F38" si="1">DATE(2000+LEFT(E29,2), MID(E29,3,2), RIGHT(E29,2))</f>
        <v>45546</v>
      </c>
      <c r="H29" t="s">
        <v>6</v>
      </c>
      <c r="I29">
        <v>77020</v>
      </c>
      <c r="J29" t="s">
        <v>1167</v>
      </c>
    </row>
    <row r="30" spans="1:10" ht="16.5" x14ac:dyDescent="0.2">
      <c r="A30" t="s">
        <v>1168</v>
      </c>
      <c r="B30" t="s">
        <v>1123</v>
      </c>
      <c r="C30" t="s">
        <v>11</v>
      </c>
      <c r="D30" t="s">
        <v>1166</v>
      </c>
      <c r="E30">
        <v>240911</v>
      </c>
      <c r="F30" s="7">
        <f t="shared" si="1"/>
        <v>45546</v>
      </c>
      <c r="H30" t="s">
        <v>6</v>
      </c>
      <c r="I30">
        <v>77040</v>
      </c>
      <c r="J30" t="s">
        <v>1169</v>
      </c>
    </row>
    <row r="31" spans="1:10" ht="16.5" x14ac:dyDescent="0.2">
      <c r="A31" t="s">
        <v>1170</v>
      </c>
      <c r="B31" t="s">
        <v>1123</v>
      </c>
      <c r="C31" t="s">
        <v>20</v>
      </c>
      <c r="D31" t="s">
        <v>1166</v>
      </c>
      <c r="E31">
        <v>240911</v>
      </c>
      <c r="F31" s="7">
        <f t="shared" si="1"/>
        <v>45546</v>
      </c>
      <c r="H31" t="s">
        <v>6</v>
      </c>
      <c r="I31">
        <v>76940</v>
      </c>
      <c r="J31" t="s">
        <v>1171</v>
      </c>
    </row>
    <row r="32" spans="1:10" ht="16.5" x14ac:dyDescent="0.2">
      <c r="A32" t="s">
        <v>1172</v>
      </c>
      <c r="B32" t="s">
        <v>1123</v>
      </c>
      <c r="C32" t="s">
        <v>20</v>
      </c>
      <c r="D32" t="s">
        <v>1166</v>
      </c>
      <c r="E32">
        <v>240911</v>
      </c>
      <c r="F32" s="7">
        <f t="shared" si="1"/>
        <v>45546</v>
      </c>
      <c r="H32" t="s">
        <v>6</v>
      </c>
      <c r="I32">
        <v>76960</v>
      </c>
      <c r="J32" t="s">
        <v>1173</v>
      </c>
    </row>
    <row r="33" spans="1:10" ht="16.5" x14ac:dyDescent="0.2">
      <c r="A33" t="s">
        <v>1174</v>
      </c>
      <c r="B33" t="s">
        <v>1123</v>
      </c>
      <c r="C33" t="s">
        <v>27</v>
      </c>
      <c r="D33" t="s">
        <v>1166</v>
      </c>
      <c r="E33">
        <v>240911</v>
      </c>
      <c r="F33" s="7">
        <f t="shared" si="1"/>
        <v>45546</v>
      </c>
      <c r="H33" t="s">
        <v>6</v>
      </c>
      <c r="I33">
        <v>76772</v>
      </c>
      <c r="J33" t="s">
        <v>1175</v>
      </c>
    </row>
    <row r="34" spans="1:10" ht="16.5" x14ac:dyDescent="0.2">
      <c r="A34" t="s">
        <v>1176</v>
      </c>
      <c r="B34" t="s">
        <v>1123</v>
      </c>
      <c r="C34" t="s">
        <v>27</v>
      </c>
      <c r="D34" t="s">
        <v>1166</v>
      </c>
      <c r="E34">
        <v>240911</v>
      </c>
      <c r="F34" s="7">
        <f t="shared" si="1"/>
        <v>45546</v>
      </c>
      <c r="H34" t="s">
        <v>6</v>
      </c>
      <c r="I34">
        <v>76792</v>
      </c>
      <c r="J34" t="s">
        <v>1177</v>
      </c>
    </row>
    <row r="35" spans="1:10" ht="16.5" x14ac:dyDescent="0.2">
      <c r="A35" t="s">
        <v>608</v>
      </c>
      <c r="B35" t="s">
        <v>533</v>
      </c>
      <c r="C35" t="s">
        <v>11</v>
      </c>
      <c r="D35" t="s">
        <v>609</v>
      </c>
      <c r="E35">
        <v>240912</v>
      </c>
      <c r="F35" s="7">
        <f t="shared" si="1"/>
        <v>45547</v>
      </c>
      <c r="H35" t="s">
        <v>6</v>
      </c>
      <c r="I35">
        <v>81404</v>
      </c>
      <c r="J35" t="s">
        <v>610</v>
      </c>
    </row>
    <row r="36" spans="1:10" ht="16.5" x14ac:dyDescent="0.2">
      <c r="A36" t="s">
        <v>611</v>
      </c>
      <c r="B36" t="s">
        <v>533</v>
      </c>
      <c r="C36" t="s">
        <v>20</v>
      </c>
      <c r="D36" t="s">
        <v>609</v>
      </c>
      <c r="E36">
        <v>240912</v>
      </c>
      <c r="F36" s="7">
        <f t="shared" si="1"/>
        <v>45547</v>
      </c>
      <c r="H36" t="s">
        <v>6</v>
      </c>
      <c r="I36">
        <v>81408</v>
      </c>
      <c r="J36" t="s">
        <v>612</v>
      </c>
    </row>
    <row r="37" spans="1:10" ht="16.5" x14ac:dyDescent="0.2">
      <c r="A37" t="s">
        <v>613</v>
      </c>
      <c r="B37" t="s">
        <v>533</v>
      </c>
      <c r="C37" t="s">
        <v>27</v>
      </c>
      <c r="D37" t="s">
        <v>609</v>
      </c>
      <c r="E37">
        <v>240912</v>
      </c>
      <c r="F37" s="7">
        <f t="shared" si="1"/>
        <v>45547</v>
      </c>
      <c r="H37" t="s">
        <v>6</v>
      </c>
      <c r="I37">
        <v>81236</v>
      </c>
      <c r="J37" t="s">
        <v>614</v>
      </c>
    </row>
    <row r="38" spans="1:10" ht="16.5" x14ac:dyDescent="0.2">
      <c r="A38" t="s">
        <v>1066</v>
      </c>
      <c r="B38" t="s">
        <v>961</v>
      </c>
      <c r="C38" t="s">
        <v>962</v>
      </c>
      <c r="D38" t="s">
        <v>1067</v>
      </c>
      <c r="E38">
        <v>240918</v>
      </c>
      <c r="F38" s="7">
        <f t="shared" si="1"/>
        <v>45553</v>
      </c>
      <c r="H38" t="s">
        <v>6</v>
      </c>
      <c r="I38">
        <v>81320</v>
      </c>
      <c r="J38" t="s">
        <v>1068</v>
      </c>
    </row>
    <row r="39" spans="1:10" hidden="1" x14ac:dyDescent="0.2">
      <c r="A39" t="s">
        <v>315</v>
      </c>
      <c r="B39" t="s">
        <v>309</v>
      </c>
      <c r="C39" t="s">
        <v>11</v>
      </c>
      <c r="D39" t="s">
        <v>316</v>
      </c>
      <c r="E39">
        <v>240924</v>
      </c>
      <c r="H39" t="s">
        <v>14</v>
      </c>
      <c r="I39">
        <v>81732</v>
      </c>
      <c r="J39" t="s">
        <v>317</v>
      </c>
    </row>
    <row r="40" spans="1:10" hidden="1" x14ac:dyDescent="0.2">
      <c r="A40" t="s">
        <v>318</v>
      </c>
      <c r="B40" t="s">
        <v>309</v>
      </c>
      <c r="C40" t="s">
        <v>20</v>
      </c>
      <c r="D40" t="s">
        <v>316</v>
      </c>
      <c r="E40">
        <v>240924</v>
      </c>
      <c r="H40" t="s">
        <v>14</v>
      </c>
      <c r="I40">
        <v>81644</v>
      </c>
      <c r="J40" t="s">
        <v>319</v>
      </c>
    </row>
    <row r="41" spans="1:10" hidden="1" x14ac:dyDescent="0.2">
      <c r="A41" t="s">
        <v>320</v>
      </c>
      <c r="B41" t="s">
        <v>309</v>
      </c>
      <c r="C41" t="s">
        <v>27</v>
      </c>
      <c r="D41" t="s">
        <v>316</v>
      </c>
      <c r="E41">
        <v>240924</v>
      </c>
      <c r="H41" t="s">
        <v>14</v>
      </c>
      <c r="I41">
        <v>81464</v>
      </c>
      <c r="J41" t="s">
        <v>321</v>
      </c>
    </row>
    <row r="42" spans="1:10" hidden="1" x14ac:dyDescent="0.2">
      <c r="A42" t="s">
        <v>1122</v>
      </c>
      <c r="B42" t="s">
        <v>1123</v>
      </c>
      <c r="C42" t="s">
        <v>11</v>
      </c>
      <c r="D42" t="s">
        <v>1124</v>
      </c>
      <c r="E42">
        <v>240925</v>
      </c>
      <c r="H42" t="s">
        <v>14</v>
      </c>
      <c r="I42">
        <v>75916</v>
      </c>
      <c r="J42" t="s">
        <v>1125</v>
      </c>
    </row>
    <row r="43" spans="1:10" hidden="1" x14ac:dyDescent="0.2">
      <c r="A43" t="s">
        <v>1126</v>
      </c>
      <c r="B43" t="s">
        <v>1123</v>
      </c>
      <c r="C43" t="s">
        <v>20</v>
      </c>
      <c r="D43" t="s">
        <v>1124</v>
      </c>
      <c r="E43">
        <v>240925</v>
      </c>
      <c r="H43" t="s">
        <v>14</v>
      </c>
      <c r="I43">
        <v>75840</v>
      </c>
      <c r="J43" t="s">
        <v>1127</v>
      </c>
    </row>
    <row r="44" spans="1:10" hidden="1" x14ac:dyDescent="0.2">
      <c r="A44" t="s">
        <v>1128</v>
      </c>
      <c r="B44" t="s">
        <v>1123</v>
      </c>
      <c r="C44" t="s">
        <v>27</v>
      </c>
      <c r="D44" t="s">
        <v>1124</v>
      </c>
      <c r="E44">
        <v>240925</v>
      </c>
      <c r="H44" t="s">
        <v>14</v>
      </c>
      <c r="I44">
        <v>75672</v>
      </c>
      <c r="J44" t="s">
        <v>1129</v>
      </c>
    </row>
    <row r="45" spans="1:10" hidden="1" x14ac:dyDescent="0.2">
      <c r="A45" t="s">
        <v>1130</v>
      </c>
      <c r="B45" t="s">
        <v>1123</v>
      </c>
      <c r="C45" t="s">
        <v>11</v>
      </c>
      <c r="D45" t="s">
        <v>1124</v>
      </c>
      <c r="E45">
        <v>240926</v>
      </c>
      <c r="H45" t="s">
        <v>14</v>
      </c>
      <c r="I45">
        <v>75792</v>
      </c>
      <c r="J45" t="s">
        <v>1131</v>
      </c>
    </row>
    <row r="46" spans="1:10" hidden="1" x14ac:dyDescent="0.2">
      <c r="A46" t="s">
        <v>1132</v>
      </c>
      <c r="B46" t="s">
        <v>1123</v>
      </c>
      <c r="C46" t="s">
        <v>20</v>
      </c>
      <c r="D46" t="s">
        <v>1124</v>
      </c>
      <c r="E46">
        <v>240926</v>
      </c>
      <c r="H46" t="s">
        <v>14</v>
      </c>
      <c r="I46">
        <v>75708</v>
      </c>
      <c r="J46" t="s">
        <v>1133</v>
      </c>
    </row>
    <row r="47" spans="1:10" hidden="1" x14ac:dyDescent="0.2">
      <c r="A47" t="s">
        <v>1134</v>
      </c>
      <c r="B47" t="s">
        <v>1123</v>
      </c>
      <c r="C47" t="s">
        <v>27</v>
      </c>
      <c r="D47" t="s">
        <v>1124</v>
      </c>
      <c r="E47">
        <v>240926</v>
      </c>
      <c r="H47" t="s">
        <v>14</v>
      </c>
      <c r="I47">
        <v>75548</v>
      </c>
      <c r="J47" t="s">
        <v>1135</v>
      </c>
    </row>
    <row r="48" spans="1:10" ht="16.5" x14ac:dyDescent="0.2">
      <c r="A48" t="s">
        <v>1178</v>
      </c>
      <c r="B48" t="s">
        <v>1123</v>
      </c>
      <c r="C48" t="s">
        <v>11</v>
      </c>
      <c r="D48" t="s">
        <v>1124</v>
      </c>
      <c r="E48">
        <v>240926</v>
      </c>
      <c r="F48" s="7">
        <f>DATE(2000+LEFT(E48,2), MID(E48,3,2), RIGHT(E48,2))</f>
        <v>45561</v>
      </c>
      <c r="H48" t="s">
        <v>6</v>
      </c>
      <c r="I48">
        <v>75792</v>
      </c>
      <c r="J48" t="s">
        <v>1179</v>
      </c>
    </row>
    <row r="49" spans="1:10" ht="16.5" x14ac:dyDescent="0.2">
      <c r="A49" t="s">
        <v>1180</v>
      </c>
      <c r="B49" t="s">
        <v>1123</v>
      </c>
      <c r="C49" t="s">
        <v>20</v>
      </c>
      <c r="D49" t="s">
        <v>1124</v>
      </c>
      <c r="E49">
        <v>240926</v>
      </c>
      <c r="F49" s="7">
        <f>DATE(2000+LEFT(E49,2), MID(E49,3,2), RIGHT(E49,2))</f>
        <v>45561</v>
      </c>
      <c r="H49" t="s">
        <v>6</v>
      </c>
      <c r="I49">
        <v>75708</v>
      </c>
      <c r="J49" t="s">
        <v>1181</v>
      </c>
    </row>
    <row r="50" spans="1:10" ht="16.5" x14ac:dyDescent="0.2">
      <c r="A50" t="s">
        <v>1182</v>
      </c>
      <c r="B50" t="s">
        <v>1123</v>
      </c>
      <c r="C50" t="s">
        <v>27</v>
      </c>
      <c r="D50" t="s">
        <v>1124</v>
      </c>
      <c r="E50">
        <v>240926</v>
      </c>
      <c r="F50" s="7">
        <f>DATE(2000+LEFT(E50,2), MID(E50,3,2), RIGHT(E50,2))</f>
        <v>45561</v>
      </c>
      <c r="H50" t="s">
        <v>6</v>
      </c>
      <c r="I50">
        <v>75548</v>
      </c>
      <c r="J50" t="s">
        <v>1183</v>
      </c>
    </row>
    <row r="51" spans="1:10" hidden="1" x14ac:dyDescent="0.2">
      <c r="A51" t="s">
        <v>322</v>
      </c>
      <c r="B51" t="s">
        <v>309</v>
      </c>
      <c r="C51" t="s">
        <v>11</v>
      </c>
      <c r="D51" t="s">
        <v>153</v>
      </c>
      <c r="E51">
        <v>240927</v>
      </c>
      <c r="H51" t="s">
        <v>14</v>
      </c>
      <c r="I51">
        <v>82880</v>
      </c>
      <c r="J51" t="s">
        <v>323</v>
      </c>
    </row>
    <row r="52" spans="1:10" hidden="1" x14ac:dyDescent="0.2">
      <c r="A52" t="s">
        <v>324</v>
      </c>
      <c r="B52" t="s">
        <v>309</v>
      </c>
      <c r="C52" t="s">
        <v>20</v>
      </c>
      <c r="D52" t="s">
        <v>153</v>
      </c>
      <c r="E52">
        <v>240927</v>
      </c>
      <c r="H52" t="s">
        <v>14</v>
      </c>
      <c r="I52">
        <v>82832</v>
      </c>
      <c r="J52" t="s">
        <v>325</v>
      </c>
    </row>
    <row r="53" spans="1:10" hidden="1" x14ac:dyDescent="0.2">
      <c r="A53" t="s">
        <v>326</v>
      </c>
      <c r="B53" t="s">
        <v>309</v>
      </c>
      <c r="C53" t="s">
        <v>27</v>
      </c>
      <c r="D53" t="s">
        <v>153</v>
      </c>
      <c r="E53">
        <v>240927</v>
      </c>
      <c r="H53" t="s">
        <v>14</v>
      </c>
      <c r="I53">
        <v>82624</v>
      </c>
      <c r="J53" t="s">
        <v>327</v>
      </c>
    </row>
    <row r="54" spans="1:10" hidden="1" x14ac:dyDescent="0.2">
      <c r="A54" t="s">
        <v>1075</v>
      </c>
      <c r="B54" t="s">
        <v>1076</v>
      </c>
      <c r="C54" t="s">
        <v>11</v>
      </c>
      <c r="D54" t="s">
        <v>558</v>
      </c>
      <c r="E54">
        <v>241008</v>
      </c>
      <c r="H54" t="s">
        <v>14</v>
      </c>
      <c r="I54">
        <v>62284</v>
      </c>
      <c r="J54" t="s">
        <v>1077</v>
      </c>
    </row>
    <row r="55" spans="1:10" hidden="1" x14ac:dyDescent="0.2">
      <c r="A55" t="s">
        <v>1075</v>
      </c>
      <c r="B55" t="s">
        <v>1076</v>
      </c>
      <c r="C55" t="s">
        <v>11</v>
      </c>
      <c r="D55" t="s">
        <v>558</v>
      </c>
      <c r="E55">
        <v>241008</v>
      </c>
      <c r="H55" t="s">
        <v>14</v>
      </c>
      <c r="I55">
        <v>62284</v>
      </c>
      <c r="J55" t="s">
        <v>1078</v>
      </c>
    </row>
    <row r="56" spans="1:10" hidden="1" x14ac:dyDescent="0.2">
      <c r="A56" t="s">
        <v>1079</v>
      </c>
      <c r="B56" t="s">
        <v>1076</v>
      </c>
      <c r="C56" t="s">
        <v>20</v>
      </c>
      <c r="D56" t="s">
        <v>558</v>
      </c>
      <c r="E56">
        <v>241008</v>
      </c>
      <c r="H56" t="s">
        <v>14</v>
      </c>
      <c r="I56">
        <v>62284</v>
      </c>
      <c r="J56" t="s">
        <v>1080</v>
      </c>
    </row>
    <row r="57" spans="1:10" hidden="1" x14ac:dyDescent="0.2">
      <c r="A57" t="s">
        <v>1081</v>
      </c>
      <c r="B57" t="s">
        <v>1076</v>
      </c>
      <c r="C57" t="s">
        <v>27</v>
      </c>
      <c r="D57" t="s">
        <v>558</v>
      </c>
      <c r="E57">
        <v>241008</v>
      </c>
      <c r="H57" t="s">
        <v>14</v>
      </c>
      <c r="I57">
        <v>62280</v>
      </c>
      <c r="J57" t="s">
        <v>1082</v>
      </c>
    </row>
    <row r="58" spans="1:10" hidden="1" x14ac:dyDescent="0.2">
      <c r="A58" t="s">
        <v>1079</v>
      </c>
      <c r="B58" t="s">
        <v>1076</v>
      </c>
      <c r="C58" t="s">
        <v>20</v>
      </c>
      <c r="D58" t="s">
        <v>558</v>
      </c>
      <c r="E58">
        <v>241008</v>
      </c>
      <c r="H58" t="s">
        <v>14</v>
      </c>
      <c r="I58">
        <v>62284</v>
      </c>
      <c r="J58" t="s">
        <v>1083</v>
      </c>
    </row>
    <row r="59" spans="1:10" hidden="1" x14ac:dyDescent="0.2">
      <c r="A59" t="s">
        <v>1081</v>
      </c>
      <c r="B59" t="s">
        <v>1076</v>
      </c>
      <c r="C59" t="s">
        <v>27</v>
      </c>
      <c r="D59" t="s">
        <v>558</v>
      </c>
      <c r="E59">
        <v>241008</v>
      </c>
      <c r="H59" t="s">
        <v>14</v>
      </c>
      <c r="I59">
        <v>62280</v>
      </c>
      <c r="J59" t="s">
        <v>1084</v>
      </c>
    </row>
    <row r="60" spans="1:10" hidden="1" x14ac:dyDescent="0.2">
      <c r="A60" t="s">
        <v>1091</v>
      </c>
      <c r="B60" t="s">
        <v>1092</v>
      </c>
      <c r="C60" t="s">
        <v>962</v>
      </c>
      <c r="D60" t="s">
        <v>558</v>
      </c>
      <c r="E60">
        <v>241014</v>
      </c>
      <c r="H60" t="s">
        <v>14</v>
      </c>
      <c r="I60">
        <v>55112</v>
      </c>
      <c r="J60" t="s">
        <v>1093</v>
      </c>
    </row>
    <row r="61" spans="1:10" hidden="1" x14ac:dyDescent="0.2">
      <c r="A61" t="s">
        <v>1085</v>
      </c>
      <c r="B61" t="s">
        <v>1076</v>
      </c>
      <c r="C61" t="s">
        <v>11</v>
      </c>
      <c r="D61" t="s">
        <v>609</v>
      </c>
      <c r="E61">
        <v>241015</v>
      </c>
      <c r="H61" t="s">
        <v>14</v>
      </c>
      <c r="I61">
        <v>64924</v>
      </c>
      <c r="J61" t="s">
        <v>1086</v>
      </c>
    </row>
    <row r="62" spans="1:10" hidden="1" x14ac:dyDescent="0.2">
      <c r="A62" t="s">
        <v>1087</v>
      </c>
      <c r="B62" t="s">
        <v>1076</v>
      </c>
      <c r="C62" t="s">
        <v>20</v>
      </c>
      <c r="D62" t="s">
        <v>609</v>
      </c>
      <c r="E62">
        <v>241015</v>
      </c>
      <c r="H62" t="s">
        <v>14</v>
      </c>
      <c r="I62">
        <v>64924</v>
      </c>
      <c r="J62" t="s">
        <v>1088</v>
      </c>
    </row>
    <row r="63" spans="1:10" hidden="1" x14ac:dyDescent="0.2">
      <c r="A63" t="s">
        <v>1089</v>
      </c>
      <c r="B63" t="s">
        <v>1076</v>
      </c>
      <c r="C63" t="s">
        <v>27</v>
      </c>
      <c r="D63" t="s">
        <v>609</v>
      </c>
      <c r="E63">
        <v>241015</v>
      </c>
      <c r="H63" t="s">
        <v>14</v>
      </c>
      <c r="I63">
        <v>64924</v>
      </c>
      <c r="J63" t="s">
        <v>1090</v>
      </c>
    </row>
    <row r="64" spans="1:10" hidden="1" x14ac:dyDescent="0.2">
      <c r="A64" t="s">
        <v>990</v>
      </c>
      <c r="B64" t="s">
        <v>991</v>
      </c>
      <c r="C64" t="s">
        <v>11</v>
      </c>
      <c r="D64" t="s">
        <v>992</v>
      </c>
      <c r="E64">
        <v>241016</v>
      </c>
      <c r="H64" t="s">
        <v>14</v>
      </c>
      <c r="I64">
        <v>78860</v>
      </c>
      <c r="J64" t="s">
        <v>993</v>
      </c>
    </row>
    <row r="65" spans="1:10" hidden="1" x14ac:dyDescent="0.2">
      <c r="A65" t="s">
        <v>994</v>
      </c>
      <c r="B65" t="s">
        <v>991</v>
      </c>
      <c r="C65" t="s">
        <v>27</v>
      </c>
      <c r="D65" t="s">
        <v>992</v>
      </c>
      <c r="E65">
        <v>241016</v>
      </c>
      <c r="H65" t="s">
        <v>14</v>
      </c>
      <c r="I65">
        <v>78596</v>
      </c>
      <c r="J65" t="s">
        <v>995</v>
      </c>
    </row>
    <row r="66" spans="1:10" hidden="1" x14ac:dyDescent="0.2">
      <c r="A66" t="s">
        <v>990</v>
      </c>
      <c r="B66" t="s">
        <v>991</v>
      </c>
      <c r="C66" t="s">
        <v>11</v>
      </c>
      <c r="D66" t="s">
        <v>992</v>
      </c>
      <c r="E66">
        <v>241016</v>
      </c>
      <c r="H66" t="s">
        <v>14</v>
      </c>
      <c r="I66">
        <v>78860</v>
      </c>
      <c r="J66" t="s">
        <v>1190</v>
      </c>
    </row>
    <row r="67" spans="1:10" hidden="1" x14ac:dyDescent="0.2">
      <c r="A67" t="s">
        <v>994</v>
      </c>
      <c r="B67" t="s">
        <v>991</v>
      </c>
      <c r="C67" t="s">
        <v>27</v>
      </c>
      <c r="D67" t="s">
        <v>992</v>
      </c>
      <c r="E67">
        <v>241016</v>
      </c>
      <c r="H67" t="s">
        <v>14</v>
      </c>
      <c r="I67">
        <v>78596</v>
      </c>
      <c r="J67" t="s">
        <v>1191</v>
      </c>
    </row>
    <row r="68" spans="1:10" hidden="1" x14ac:dyDescent="0.2">
      <c r="A68" t="s">
        <v>996</v>
      </c>
      <c r="B68" t="s">
        <v>991</v>
      </c>
      <c r="C68" t="s">
        <v>11</v>
      </c>
      <c r="D68" t="s">
        <v>997</v>
      </c>
      <c r="E68">
        <v>241021</v>
      </c>
      <c r="H68" t="s">
        <v>14</v>
      </c>
      <c r="I68">
        <v>78920</v>
      </c>
      <c r="J68" t="s">
        <v>998</v>
      </c>
    </row>
    <row r="69" spans="1:10" hidden="1" x14ac:dyDescent="0.2">
      <c r="A69" t="s">
        <v>999</v>
      </c>
      <c r="B69" t="s">
        <v>991</v>
      </c>
      <c r="C69" t="s">
        <v>27</v>
      </c>
      <c r="D69" t="s">
        <v>997</v>
      </c>
      <c r="E69">
        <v>241021</v>
      </c>
      <c r="H69" t="s">
        <v>14</v>
      </c>
      <c r="I69">
        <v>78656</v>
      </c>
      <c r="J69" t="s">
        <v>1000</v>
      </c>
    </row>
    <row r="70" spans="1:10" hidden="1" x14ac:dyDescent="0.2">
      <c r="A70" t="s">
        <v>996</v>
      </c>
      <c r="B70" t="s">
        <v>991</v>
      </c>
      <c r="C70" t="s">
        <v>11</v>
      </c>
      <c r="D70" t="s">
        <v>997</v>
      </c>
      <c r="E70">
        <v>241021</v>
      </c>
      <c r="H70" t="s">
        <v>14</v>
      </c>
      <c r="I70">
        <v>78920</v>
      </c>
      <c r="J70" t="s">
        <v>1192</v>
      </c>
    </row>
    <row r="71" spans="1:10" hidden="1" x14ac:dyDescent="0.2">
      <c r="A71" t="s">
        <v>999</v>
      </c>
      <c r="B71" t="s">
        <v>991</v>
      </c>
      <c r="C71" t="s">
        <v>27</v>
      </c>
      <c r="D71" t="s">
        <v>997</v>
      </c>
      <c r="E71">
        <v>241021</v>
      </c>
      <c r="H71" t="s">
        <v>14</v>
      </c>
      <c r="I71">
        <v>78656</v>
      </c>
      <c r="J71" t="s">
        <v>1193</v>
      </c>
    </row>
    <row r="72" spans="1:10" hidden="1" x14ac:dyDescent="0.2">
      <c r="A72" t="s">
        <v>1001</v>
      </c>
      <c r="B72" t="s">
        <v>991</v>
      </c>
      <c r="C72" t="s">
        <v>11</v>
      </c>
      <c r="D72" t="s">
        <v>1002</v>
      </c>
      <c r="E72">
        <v>241022</v>
      </c>
      <c r="H72" t="s">
        <v>14</v>
      </c>
      <c r="I72">
        <v>78968</v>
      </c>
      <c r="J72" t="s">
        <v>1003</v>
      </c>
    </row>
    <row r="73" spans="1:10" hidden="1" x14ac:dyDescent="0.2">
      <c r="A73" t="s">
        <v>1004</v>
      </c>
      <c r="B73" t="s">
        <v>991</v>
      </c>
      <c r="C73" t="s">
        <v>27</v>
      </c>
      <c r="D73" t="s">
        <v>1002</v>
      </c>
      <c r="E73">
        <v>241022</v>
      </c>
      <c r="H73" t="s">
        <v>14</v>
      </c>
      <c r="I73">
        <v>78704</v>
      </c>
      <c r="J73" t="s">
        <v>1005</v>
      </c>
    </row>
    <row r="74" spans="1:10" hidden="1" x14ac:dyDescent="0.2">
      <c r="A74" t="s">
        <v>1001</v>
      </c>
      <c r="B74" t="s">
        <v>991</v>
      </c>
      <c r="C74" t="s">
        <v>11</v>
      </c>
      <c r="D74" t="s">
        <v>1002</v>
      </c>
      <c r="E74">
        <v>241022</v>
      </c>
      <c r="H74" t="s">
        <v>14</v>
      </c>
      <c r="I74">
        <v>78968</v>
      </c>
      <c r="J74" t="s">
        <v>1194</v>
      </c>
    </row>
    <row r="75" spans="1:10" hidden="1" x14ac:dyDescent="0.2">
      <c r="A75" t="s">
        <v>1004</v>
      </c>
      <c r="B75" t="s">
        <v>991</v>
      </c>
      <c r="C75" t="s">
        <v>27</v>
      </c>
      <c r="D75" t="s">
        <v>1002</v>
      </c>
      <c r="E75">
        <v>241022</v>
      </c>
      <c r="H75" t="s">
        <v>14</v>
      </c>
      <c r="I75">
        <v>78704</v>
      </c>
      <c r="J75" t="s">
        <v>1195</v>
      </c>
    </row>
    <row r="76" spans="1:10" hidden="1" x14ac:dyDescent="0.2">
      <c r="A76" t="s">
        <v>245</v>
      </c>
      <c r="B76" t="s">
        <v>246</v>
      </c>
      <c r="C76" t="s">
        <v>11</v>
      </c>
      <c r="D76" t="s">
        <v>247</v>
      </c>
      <c r="E76">
        <v>241105</v>
      </c>
      <c r="H76" t="s">
        <v>14</v>
      </c>
      <c r="I76">
        <v>80824</v>
      </c>
      <c r="J76" t="s">
        <v>248</v>
      </c>
    </row>
    <row r="77" spans="1:10" hidden="1" x14ac:dyDescent="0.2">
      <c r="A77" t="s">
        <v>249</v>
      </c>
      <c r="B77" t="s">
        <v>246</v>
      </c>
      <c r="C77" t="s">
        <v>20</v>
      </c>
      <c r="D77" t="s">
        <v>247</v>
      </c>
      <c r="E77">
        <v>241105</v>
      </c>
      <c r="H77" t="s">
        <v>14</v>
      </c>
      <c r="I77">
        <v>80824</v>
      </c>
      <c r="J77" t="s">
        <v>250</v>
      </c>
    </row>
    <row r="78" spans="1:10" hidden="1" x14ac:dyDescent="0.2">
      <c r="A78" t="s">
        <v>251</v>
      </c>
      <c r="B78" t="s">
        <v>246</v>
      </c>
      <c r="C78" t="s">
        <v>27</v>
      </c>
      <c r="D78" t="s">
        <v>247</v>
      </c>
      <c r="E78">
        <v>241105</v>
      </c>
      <c r="H78" t="s">
        <v>14</v>
      </c>
      <c r="I78">
        <v>80824</v>
      </c>
      <c r="J78" t="s">
        <v>252</v>
      </c>
    </row>
    <row r="79" spans="1:10" hidden="1" x14ac:dyDescent="0.2">
      <c r="A79" t="s">
        <v>299</v>
      </c>
      <c r="B79" t="s">
        <v>246</v>
      </c>
      <c r="C79" t="s">
        <v>11</v>
      </c>
      <c r="D79" t="s">
        <v>300</v>
      </c>
      <c r="E79">
        <v>241105</v>
      </c>
      <c r="H79" t="s">
        <v>14</v>
      </c>
      <c r="I79">
        <v>80824</v>
      </c>
      <c r="J79" t="s">
        <v>301</v>
      </c>
    </row>
    <row r="80" spans="1:10" hidden="1" x14ac:dyDescent="0.2">
      <c r="A80" t="s">
        <v>253</v>
      </c>
      <c r="B80" t="s">
        <v>246</v>
      </c>
      <c r="C80" t="s">
        <v>11</v>
      </c>
      <c r="D80" t="s">
        <v>254</v>
      </c>
      <c r="E80">
        <v>241112</v>
      </c>
      <c r="H80" t="s">
        <v>14</v>
      </c>
      <c r="I80">
        <v>81888</v>
      </c>
      <c r="J80" t="s">
        <v>255</v>
      </c>
    </row>
    <row r="81" spans="1:10" hidden="1" x14ac:dyDescent="0.2">
      <c r="A81" t="s">
        <v>256</v>
      </c>
      <c r="B81" t="s">
        <v>246</v>
      </c>
      <c r="C81" t="s">
        <v>11</v>
      </c>
      <c r="D81" t="s">
        <v>254</v>
      </c>
      <c r="E81">
        <v>241112</v>
      </c>
      <c r="H81" t="s">
        <v>14</v>
      </c>
      <c r="I81">
        <v>81908</v>
      </c>
      <c r="J81" t="s">
        <v>257</v>
      </c>
    </row>
    <row r="82" spans="1:10" hidden="1" x14ac:dyDescent="0.2">
      <c r="A82" t="s">
        <v>258</v>
      </c>
      <c r="B82" t="s">
        <v>246</v>
      </c>
      <c r="C82" t="s">
        <v>20</v>
      </c>
      <c r="D82" t="s">
        <v>254</v>
      </c>
      <c r="E82">
        <v>241112</v>
      </c>
      <c r="H82" t="s">
        <v>14</v>
      </c>
      <c r="I82">
        <v>81888</v>
      </c>
      <c r="J82" t="s">
        <v>259</v>
      </c>
    </row>
    <row r="83" spans="1:10" hidden="1" x14ac:dyDescent="0.2">
      <c r="A83" t="s">
        <v>260</v>
      </c>
      <c r="B83" t="s">
        <v>246</v>
      </c>
      <c r="C83" t="s">
        <v>20</v>
      </c>
      <c r="D83" t="s">
        <v>254</v>
      </c>
      <c r="E83">
        <v>241112</v>
      </c>
      <c r="H83" t="s">
        <v>14</v>
      </c>
      <c r="I83">
        <v>81908</v>
      </c>
      <c r="J83" t="s">
        <v>261</v>
      </c>
    </row>
    <row r="84" spans="1:10" hidden="1" x14ac:dyDescent="0.2">
      <c r="A84" t="s">
        <v>262</v>
      </c>
      <c r="B84" t="s">
        <v>246</v>
      </c>
      <c r="C84" t="s">
        <v>27</v>
      </c>
      <c r="D84" t="s">
        <v>254</v>
      </c>
      <c r="E84">
        <v>241112</v>
      </c>
      <c r="H84" t="s">
        <v>14</v>
      </c>
      <c r="I84">
        <v>81888</v>
      </c>
      <c r="J84" t="s">
        <v>263</v>
      </c>
    </row>
    <row r="85" spans="1:10" hidden="1" x14ac:dyDescent="0.2">
      <c r="A85" t="s">
        <v>264</v>
      </c>
      <c r="B85" t="s">
        <v>246</v>
      </c>
      <c r="C85" t="s">
        <v>27</v>
      </c>
      <c r="D85" t="s">
        <v>254</v>
      </c>
      <c r="E85">
        <v>241112</v>
      </c>
      <c r="H85" t="s">
        <v>14</v>
      </c>
      <c r="I85">
        <v>81908</v>
      </c>
      <c r="J85" t="s">
        <v>265</v>
      </c>
    </row>
    <row r="86" spans="1:10" hidden="1" x14ac:dyDescent="0.2">
      <c r="A86" t="s">
        <v>1094</v>
      </c>
      <c r="B86" t="s">
        <v>1095</v>
      </c>
      <c r="C86" t="s">
        <v>11</v>
      </c>
      <c r="D86" t="s">
        <v>558</v>
      </c>
      <c r="E86">
        <v>241114</v>
      </c>
      <c r="H86" t="s">
        <v>14</v>
      </c>
      <c r="I86">
        <v>67508</v>
      </c>
      <c r="J86" t="s">
        <v>1096</v>
      </c>
    </row>
    <row r="87" spans="1:10" hidden="1" x14ac:dyDescent="0.2">
      <c r="A87" t="s">
        <v>266</v>
      </c>
      <c r="B87" t="s">
        <v>246</v>
      </c>
      <c r="C87" t="s">
        <v>11</v>
      </c>
      <c r="D87" t="s">
        <v>267</v>
      </c>
      <c r="E87">
        <v>241118</v>
      </c>
      <c r="H87" t="s">
        <v>14</v>
      </c>
      <c r="I87">
        <v>81888</v>
      </c>
      <c r="J87" t="s">
        <v>268</v>
      </c>
    </row>
    <row r="88" spans="1:10" hidden="1" x14ac:dyDescent="0.2">
      <c r="A88" t="s">
        <v>269</v>
      </c>
      <c r="B88" t="s">
        <v>246</v>
      </c>
      <c r="C88" t="s">
        <v>11</v>
      </c>
      <c r="D88" t="s">
        <v>267</v>
      </c>
      <c r="E88">
        <v>241118</v>
      </c>
      <c r="H88" t="s">
        <v>14</v>
      </c>
      <c r="I88">
        <v>81908</v>
      </c>
      <c r="J88" t="s">
        <v>270</v>
      </c>
    </row>
    <row r="89" spans="1:10" hidden="1" x14ac:dyDescent="0.2">
      <c r="A89" t="s">
        <v>271</v>
      </c>
      <c r="B89" t="s">
        <v>246</v>
      </c>
      <c r="C89" t="s">
        <v>20</v>
      </c>
      <c r="D89" t="s">
        <v>267</v>
      </c>
      <c r="E89">
        <v>241118</v>
      </c>
      <c r="H89" t="s">
        <v>14</v>
      </c>
      <c r="I89">
        <v>81888</v>
      </c>
      <c r="J89" t="s">
        <v>272</v>
      </c>
    </row>
    <row r="90" spans="1:10" hidden="1" x14ac:dyDescent="0.2">
      <c r="A90" t="s">
        <v>273</v>
      </c>
      <c r="B90" t="s">
        <v>246</v>
      </c>
      <c r="C90" t="s">
        <v>20</v>
      </c>
      <c r="D90" t="s">
        <v>267</v>
      </c>
      <c r="E90">
        <v>241118</v>
      </c>
      <c r="H90" t="s">
        <v>14</v>
      </c>
      <c r="I90">
        <v>81908</v>
      </c>
      <c r="J90" t="s">
        <v>274</v>
      </c>
    </row>
    <row r="91" spans="1:10" hidden="1" x14ac:dyDescent="0.2">
      <c r="A91" t="s">
        <v>275</v>
      </c>
      <c r="B91" t="s">
        <v>246</v>
      </c>
      <c r="C91" t="s">
        <v>27</v>
      </c>
      <c r="D91" t="s">
        <v>267</v>
      </c>
      <c r="E91">
        <v>241118</v>
      </c>
      <c r="H91" t="s">
        <v>14</v>
      </c>
      <c r="I91">
        <v>81888</v>
      </c>
      <c r="J91" t="s">
        <v>276</v>
      </c>
    </row>
    <row r="92" spans="1:10" hidden="1" x14ac:dyDescent="0.2">
      <c r="A92" t="s">
        <v>277</v>
      </c>
      <c r="B92" t="s">
        <v>246</v>
      </c>
      <c r="C92" t="s">
        <v>27</v>
      </c>
      <c r="D92" t="s">
        <v>267</v>
      </c>
      <c r="E92">
        <v>241118</v>
      </c>
      <c r="H92" t="s">
        <v>14</v>
      </c>
      <c r="I92">
        <v>81908</v>
      </c>
      <c r="J92" t="s">
        <v>278</v>
      </c>
    </row>
    <row r="93" spans="1:10" hidden="1" x14ac:dyDescent="0.2">
      <c r="A93" t="s">
        <v>1097</v>
      </c>
      <c r="B93" t="s">
        <v>1095</v>
      </c>
      <c r="C93" t="s">
        <v>11</v>
      </c>
      <c r="D93" t="s">
        <v>609</v>
      </c>
      <c r="E93">
        <v>241118</v>
      </c>
      <c r="H93" t="s">
        <v>14</v>
      </c>
      <c r="I93">
        <v>67516</v>
      </c>
      <c r="J93" t="s">
        <v>1098</v>
      </c>
    </row>
    <row r="94" spans="1:10" hidden="1" x14ac:dyDescent="0.2">
      <c r="A94" t="s">
        <v>9</v>
      </c>
      <c r="B94" t="s">
        <v>10</v>
      </c>
      <c r="C94" t="s">
        <v>11</v>
      </c>
      <c r="D94" t="s">
        <v>12</v>
      </c>
      <c r="E94">
        <v>241126</v>
      </c>
      <c r="G94" t="s">
        <v>13</v>
      </c>
      <c r="H94" t="s">
        <v>14</v>
      </c>
      <c r="I94">
        <v>67744</v>
      </c>
      <c r="J94" t="s">
        <v>15</v>
      </c>
    </row>
    <row r="95" spans="1:10" hidden="1" x14ac:dyDescent="0.2">
      <c r="A95" t="s">
        <v>16</v>
      </c>
      <c r="B95" t="s">
        <v>10</v>
      </c>
      <c r="C95" t="s">
        <v>11</v>
      </c>
      <c r="D95" t="s">
        <v>12</v>
      </c>
      <c r="E95">
        <v>241126</v>
      </c>
      <c r="G95" t="s">
        <v>17</v>
      </c>
      <c r="H95" t="s">
        <v>14</v>
      </c>
      <c r="I95">
        <v>67724</v>
      </c>
      <c r="J95" t="s">
        <v>18</v>
      </c>
    </row>
    <row r="96" spans="1:10" hidden="1" x14ac:dyDescent="0.2">
      <c r="A96" t="s">
        <v>19</v>
      </c>
      <c r="B96" t="s">
        <v>10</v>
      </c>
      <c r="C96" t="s">
        <v>20</v>
      </c>
      <c r="D96" t="s">
        <v>12</v>
      </c>
      <c r="E96">
        <v>241126</v>
      </c>
      <c r="G96" t="s">
        <v>21</v>
      </c>
      <c r="H96" t="s">
        <v>14</v>
      </c>
      <c r="I96">
        <v>67744</v>
      </c>
      <c r="J96" t="s">
        <v>22</v>
      </c>
    </row>
    <row r="97" spans="1:10" hidden="1" x14ac:dyDescent="0.2">
      <c r="A97" t="s">
        <v>23</v>
      </c>
      <c r="B97" t="s">
        <v>10</v>
      </c>
      <c r="C97" t="s">
        <v>20</v>
      </c>
      <c r="D97" t="s">
        <v>12</v>
      </c>
      <c r="E97">
        <v>241126</v>
      </c>
      <c r="G97" t="s">
        <v>24</v>
      </c>
      <c r="H97" t="s">
        <v>14</v>
      </c>
      <c r="I97">
        <v>67724</v>
      </c>
      <c r="J97" t="s">
        <v>25</v>
      </c>
    </row>
    <row r="98" spans="1:10" hidden="1" x14ac:dyDescent="0.2">
      <c r="A98" t="s">
        <v>26</v>
      </c>
      <c r="B98" t="s">
        <v>10</v>
      </c>
      <c r="C98" t="s">
        <v>27</v>
      </c>
      <c r="D98" t="s">
        <v>12</v>
      </c>
      <c r="E98">
        <v>241126</v>
      </c>
      <c r="G98" t="s">
        <v>28</v>
      </c>
      <c r="H98" t="s">
        <v>14</v>
      </c>
      <c r="I98">
        <v>67744</v>
      </c>
      <c r="J98" t="s">
        <v>29</v>
      </c>
    </row>
    <row r="99" spans="1:10" hidden="1" x14ac:dyDescent="0.2">
      <c r="A99" t="s">
        <v>30</v>
      </c>
      <c r="B99" t="s">
        <v>10</v>
      </c>
      <c r="C99" t="s">
        <v>27</v>
      </c>
      <c r="D99" t="s">
        <v>12</v>
      </c>
      <c r="E99">
        <v>241126</v>
      </c>
      <c r="G99" t="s">
        <v>31</v>
      </c>
      <c r="H99" t="s">
        <v>14</v>
      </c>
      <c r="I99">
        <v>67724</v>
      </c>
      <c r="J99" t="s">
        <v>32</v>
      </c>
    </row>
    <row r="100" spans="1:10" ht="16.5" x14ac:dyDescent="0.2">
      <c r="A100" t="s">
        <v>85</v>
      </c>
      <c r="B100" t="s">
        <v>10</v>
      </c>
      <c r="C100" t="s">
        <v>11</v>
      </c>
      <c r="D100" t="s">
        <v>12</v>
      </c>
      <c r="E100">
        <v>241126</v>
      </c>
      <c r="F100" s="7">
        <f t="shared" ref="F100:F105" si="2">DATE(2000+LEFT(E100,2), MID(E100,3,2), RIGHT(E100,2))</f>
        <v>45622</v>
      </c>
      <c r="G100" t="s">
        <v>13</v>
      </c>
      <c r="H100" t="s">
        <v>6</v>
      </c>
      <c r="I100">
        <v>67744</v>
      </c>
      <c r="J100" t="s">
        <v>86</v>
      </c>
    </row>
    <row r="101" spans="1:10" ht="16.5" x14ac:dyDescent="0.2">
      <c r="A101" t="s">
        <v>87</v>
      </c>
      <c r="B101" t="s">
        <v>10</v>
      </c>
      <c r="C101" t="s">
        <v>11</v>
      </c>
      <c r="D101" t="s">
        <v>12</v>
      </c>
      <c r="E101">
        <v>241126</v>
      </c>
      <c r="F101" s="7">
        <f t="shared" si="2"/>
        <v>45622</v>
      </c>
      <c r="G101" t="s">
        <v>17</v>
      </c>
      <c r="H101" t="s">
        <v>6</v>
      </c>
      <c r="I101">
        <v>67724</v>
      </c>
      <c r="J101" t="s">
        <v>88</v>
      </c>
    </row>
    <row r="102" spans="1:10" ht="16.5" x14ac:dyDescent="0.2">
      <c r="A102" t="s">
        <v>89</v>
      </c>
      <c r="B102" t="s">
        <v>10</v>
      </c>
      <c r="C102" t="s">
        <v>20</v>
      </c>
      <c r="D102" t="s">
        <v>12</v>
      </c>
      <c r="E102">
        <v>241126</v>
      </c>
      <c r="F102" s="7">
        <f t="shared" si="2"/>
        <v>45622</v>
      </c>
      <c r="G102" t="s">
        <v>21</v>
      </c>
      <c r="H102" t="s">
        <v>6</v>
      </c>
      <c r="I102">
        <v>67744</v>
      </c>
      <c r="J102" t="s">
        <v>90</v>
      </c>
    </row>
    <row r="103" spans="1:10" ht="16.5" x14ac:dyDescent="0.2">
      <c r="A103" t="s">
        <v>91</v>
      </c>
      <c r="B103" t="s">
        <v>10</v>
      </c>
      <c r="C103" t="s">
        <v>20</v>
      </c>
      <c r="D103" t="s">
        <v>12</v>
      </c>
      <c r="E103">
        <v>241126</v>
      </c>
      <c r="F103" s="7">
        <f t="shared" si="2"/>
        <v>45622</v>
      </c>
      <c r="G103" t="s">
        <v>24</v>
      </c>
      <c r="H103" t="s">
        <v>6</v>
      </c>
      <c r="I103">
        <v>67724</v>
      </c>
      <c r="J103" t="s">
        <v>92</v>
      </c>
    </row>
    <row r="104" spans="1:10" ht="16.5" x14ac:dyDescent="0.2">
      <c r="A104" t="s">
        <v>93</v>
      </c>
      <c r="B104" t="s">
        <v>10</v>
      </c>
      <c r="C104" t="s">
        <v>27</v>
      </c>
      <c r="D104" t="s">
        <v>12</v>
      </c>
      <c r="E104">
        <v>241126</v>
      </c>
      <c r="F104" s="7">
        <f t="shared" si="2"/>
        <v>45622</v>
      </c>
      <c r="G104" t="s">
        <v>28</v>
      </c>
      <c r="H104" t="s">
        <v>6</v>
      </c>
      <c r="I104">
        <v>67744</v>
      </c>
      <c r="J104" t="s">
        <v>94</v>
      </c>
    </row>
    <row r="105" spans="1:10" ht="16.5" x14ac:dyDescent="0.2">
      <c r="A105" t="s">
        <v>95</v>
      </c>
      <c r="B105" t="s">
        <v>10</v>
      </c>
      <c r="C105" t="s">
        <v>27</v>
      </c>
      <c r="D105" t="s">
        <v>12</v>
      </c>
      <c r="E105">
        <v>241126</v>
      </c>
      <c r="F105" s="7">
        <f t="shared" si="2"/>
        <v>45622</v>
      </c>
      <c r="G105" t="s">
        <v>31</v>
      </c>
      <c r="H105" t="s">
        <v>6</v>
      </c>
      <c r="I105">
        <v>67724</v>
      </c>
      <c r="J105" t="s">
        <v>96</v>
      </c>
    </row>
    <row r="106" spans="1:10" hidden="1" x14ac:dyDescent="0.2">
      <c r="A106" t="s">
        <v>1099</v>
      </c>
      <c r="B106" t="s">
        <v>1095</v>
      </c>
      <c r="C106" t="s">
        <v>11</v>
      </c>
      <c r="D106" t="s">
        <v>549</v>
      </c>
      <c r="E106">
        <v>241126</v>
      </c>
      <c r="G106" s="1" t="s">
        <v>1100</v>
      </c>
      <c r="H106" t="s">
        <v>14</v>
      </c>
      <c r="I106">
        <v>67128</v>
      </c>
      <c r="J106" t="s">
        <v>1101</v>
      </c>
    </row>
    <row r="107" spans="1:10" hidden="1" x14ac:dyDescent="0.2">
      <c r="A107" t="s">
        <v>1102</v>
      </c>
      <c r="B107" t="s">
        <v>1095</v>
      </c>
      <c r="C107" t="s">
        <v>11</v>
      </c>
      <c r="D107" t="s">
        <v>549</v>
      </c>
      <c r="E107">
        <v>241126</v>
      </c>
      <c r="G107" t="s">
        <v>1103</v>
      </c>
      <c r="H107" t="s">
        <v>14</v>
      </c>
      <c r="I107">
        <v>67148</v>
      </c>
      <c r="J107" t="s">
        <v>1104</v>
      </c>
    </row>
    <row r="108" spans="1:10" hidden="1" x14ac:dyDescent="0.2">
      <c r="A108" t="s">
        <v>1105</v>
      </c>
      <c r="B108" t="s">
        <v>1095</v>
      </c>
      <c r="C108" t="s">
        <v>11</v>
      </c>
      <c r="D108" t="s">
        <v>316</v>
      </c>
      <c r="E108">
        <v>241127</v>
      </c>
      <c r="G108" t="s">
        <v>1106</v>
      </c>
      <c r="H108" t="s">
        <v>14</v>
      </c>
      <c r="I108">
        <v>67116</v>
      </c>
      <c r="J108" t="s">
        <v>1107</v>
      </c>
    </row>
    <row r="109" spans="1:10" hidden="1" x14ac:dyDescent="0.2">
      <c r="A109" t="s">
        <v>1108</v>
      </c>
      <c r="B109" t="s">
        <v>1095</v>
      </c>
      <c r="C109" t="s">
        <v>11</v>
      </c>
      <c r="D109" t="s">
        <v>316</v>
      </c>
      <c r="E109">
        <v>241127</v>
      </c>
      <c r="G109" t="s">
        <v>1109</v>
      </c>
      <c r="H109" t="s">
        <v>14</v>
      </c>
      <c r="I109">
        <v>67136</v>
      </c>
      <c r="J109" t="s">
        <v>1110</v>
      </c>
    </row>
    <row r="110" spans="1:10" hidden="1" x14ac:dyDescent="0.2">
      <c r="A110" t="s">
        <v>328</v>
      </c>
      <c r="B110" t="s">
        <v>309</v>
      </c>
      <c r="C110" t="s">
        <v>11</v>
      </c>
      <c r="D110" t="s">
        <v>221</v>
      </c>
      <c r="E110">
        <v>241128</v>
      </c>
      <c r="G110" t="s">
        <v>329</v>
      </c>
      <c r="H110" t="s">
        <v>14</v>
      </c>
      <c r="I110">
        <v>82948</v>
      </c>
      <c r="J110" t="s">
        <v>330</v>
      </c>
    </row>
    <row r="111" spans="1:10" hidden="1" x14ac:dyDescent="0.2">
      <c r="A111" t="s">
        <v>331</v>
      </c>
      <c r="B111" t="s">
        <v>309</v>
      </c>
      <c r="C111" t="s">
        <v>20</v>
      </c>
      <c r="D111" t="s">
        <v>221</v>
      </c>
      <c r="E111">
        <v>241128</v>
      </c>
      <c r="G111" t="s">
        <v>332</v>
      </c>
      <c r="H111" t="s">
        <v>14</v>
      </c>
      <c r="I111">
        <v>82896</v>
      </c>
      <c r="J111" t="s">
        <v>333</v>
      </c>
    </row>
    <row r="112" spans="1:10" hidden="1" x14ac:dyDescent="0.2">
      <c r="A112" t="s">
        <v>334</v>
      </c>
      <c r="B112" t="s">
        <v>309</v>
      </c>
      <c r="C112" t="s">
        <v>27</v>
      </c>
      <c r="D112" t="s">
        <v>221</v>
      </c>
      <c r="E112">
        <v>241128</v>
      </c>
      <c r="G112" t="s">
        <v>335</v>
      </c>
      <c r="H112" t="s">
        <v>14</v>
      </c>
      <c r="I112">
        <v>82676</v>
      </c>
      <c r="J112" t="s">
        <v>336</v>
      </c>
    </row>
    <row r="113" spans="1:10" hidden="1" x14ac:dyDescent="0.2">
      <c r="A113" t="s">
        <v>337</v>
      </c>
      <c r="B113" t="s">
        <v>309</v>
      </c>
      <c r="C113" t="s">
        <v>11</v>
      </c>
      <c r="D113" t="s">
        <v>338</v>
      </c>
      <c r="E113">
        <v>241129</v>
      </c>
      <c r="G113" t="s">
        <v>339</v>
      </c>
      <c r="H113" t="s">
        <v>14</v>
      </c>
      <c r="I113">
        <v>82940</v>
      </c>
      <c r="J113" t="s">
        <v>340</v>
      </c>
    </row>
    <row r="114" spans="1:10" hidden="1" x14ac:dyDescent="0.2">
      <c r="A114" t="s">
        <v>341</v>
      </c>
      <c r="B114" t="s">
        <v>309</v>
      </c>
      <c r="C114" t="s">
        <v>20</v>
      </c>
      <c r="D114" t="s">
        <v>338</v>
      </c>
      <c r="E114">
        <v>241129</v>
      </c>
      <c r="G114" t="s">
        <v>342</v>
      </c>
      <c r="H114" t="s">
        <v>14</v>
      </c>
      <c r="I114">
        <v>82888</v>
      </c>
      <c r="J114" t="s">
        <v>343</v>
      </c>
    </row>
    <row r="115" spans="1:10" hidden="1" x14ac:dyDescent="0.2">
      <c r="A115" t="s">
        <v>344</v>
      </c>
      <c r="B115" t="s">
        <v>309</v>
      </c>
      <c r="C115" t="s">
        <v>27</v>
      </c>
      <c r="D115" t="s">
        <v>338</v>
      </c>
      <c r="E115">
        <v>241129</v>
      </c>
      <c r="G115" t="s">
        <v>345</v>
      </c>
      <c r="H115" t="s">
        <v>14</v>
      </c>
      <c r="I115">
        <v>82668</v>
      </c>
      <c r="J115" t="s">
        <v>346</v>
      </c>
    </row>
    <row r="116" spans="1:10" ht="16.5" x14ac:dyDescent="0.2">
      <c r="A116" t="s">
        <v>360</v>
      </c>
      <c r="B116" t="s">
        <v>309</v>
      </c>
      <c r="C116" t="s">
        <v>11</v>
      </c>
      <c r="D116" t="s">
        <v>338</v>
      </c>
      <c r="E116">
        <v>241129</v>
      </c>
      <c r="F116" s="7">
        <f>DATE(2000+LEFT(E116,2), MID(E116,3,2), RIGHT(E116,2))</f>
        <v>45625</v>
      </c>
      <c r="G116" t="s">
        <v>339</v>
      </c>
      <c r="H116" t="s">
        <v>6</v>
      </c>
      <c r="I116">
        <v>82940</v>
      </c>
      <c r="J116" t="s">
        <v>361</v>
      </c>
    </row>
    <row r="117" spans="1:10" ht="16.5" x14ac:dyDescent="0.2">
      <c r="A117" t="s">
        <v>362</v>
      </c>
      <c r="B117" t="s">
        <v>309</v>
      </c>
      <c r="C117" t="s">
        <v>20</v>
      </c>
      <c r="D117" t="s">
        <v>338</v>
      </c>
      <c r="E117">
        <v>241129</v>
      </c>
      <c r="F117" s="7">
        <f>DATE(2000+LEFT(E117,2), MID(E117,3,2), RIGHT(E117,2))</f>
        <v>45625</v>
      </c>
      <c r="G117" t="s">
        <v>342</v>
      </c>
      <c r="H117" t="s">
        <v>6</v>
      </c>
      <c r="I117">
        <v>82888</v>
      </c>
      <c r="J117" t="s">
        <v>363</v>
      </c>
    </row>
    <row r="118" spans="1:10" ht="16.5" x14ac:dyDescent="0.2">
      <c r="A118" t="s">
        <v>364</v>
      </c>
      <c r="B118" t="s">
        <v>309</v>
      </c>
      <c r="C118" t="s">
        <v>27</v>
      </c>
      <c r="D118" t="s">
        <v>338</v>
      </c>
      <c r="E118">
        <v>241129</v>
      </c>
      <c r="F118" s="7">
        <f>DATE(2000+LEFT(E118,2), MID(E118,3,2), RIGHT(E118,2))</f>
        <v>45625</v>
      </c>
      <c r="G118" t="s">
        <v>345</v>
      </c>
      <c r="H118" t="s">
        <v>6</v>
      </c>
      <c r="I118">
        <v>82668</v>
      </c>
      <c r="J118" t="s">
        <v>365</v>
      </c>
    </row>
    <row r="119" spans="1:10" hidden="1" x14ac:dyDescent="0.2">
      <c r="A119" t="s">
        <v>1111</v>
      </c>
      <c r="B119" t="s">
        <v>1095</v>
      </c>
      <c r="C119" t="s">
        <v>11</v>
      </c>
      <c r="D119" t="s">
        <v>153</v>
      </c>
      <c r="E119">
        <v>241129</v>
      </c>
      <c r="G119" t="s">
        <v>1112</v>
      </c>
      <c r="H119" t="s">
        <v>14</v>
      </c>
      <c r="I119">
        <v>67172</v>
      </c>
      <c r="J119" t="s">
        <v>1113</v>
      </c>
    </row>
    <row r="120" spans="1:10" hidden="1" x14ac:dyDescent="0.2">
      <c r="A120" t="s">
        <v>1114</v>
      </c>
      <c r="B120" t="s">
        <v>1095</v>
      </c>
      <c r="C120" t="s">
        <v>11</v>
      </c>
      <c r="D120" t="s">
        <v>153</v>
      </c>
      <c r="E120">
        <v>241129</v>
      </c>
      <c r="G120" t="s">
        <v>1115</v>
      </c>
      <c r="H120" t="s">
        <v>14</v>
      </c>
      <c r="I120">
        <v>67192</v>
      </c>
      <c r="J120" t="s">
        <v>1116</v>
      </c>
    </row>
    <row r="121" spans="1:10" hidden="1" x14ac:dyDescent="0.2">
      <c r="A121" t="s">
        <v>621</v>
      </c>
      <c r="B121" t="s">
        <v>622</v>
      </c>
      <c r="C121" t="s">
        <v>11</v>
      </c>
      <c r="D121" t="s">
        <v>191</v>
      </c>
      <c r="E121">
        <v>241203</v>
      </c>
      <c r="G121" t="s">
        <v>623</v>
      </c>
      <c r="H121" t="s">
        <v>14</v>
      </c>
      <c r="I121">
        <v>81140</v>
      </c>
      <c r="J121" t="s">
        <v>624</v>
      </c>
    </row>
    <row r="122" spans="1:10" hidden="1" x14ac:dyDescent="0.2">
      <c r="A122" t="s">
        <v>625</v>
      </c>
      <c r="B122" t="s">
        <v>622</v>
      </c>
      <c r="C122" t="s">
        <v>11</v>
      </c>
      <c r="D122" t="s">
        <v>191</v>
      </c>
      <c r="E122">
        <v>241203</v>
      </c>
      <c r="G122" t="s">
        <v>626</v>
      </c>
      <c r="H122" t="s">
        <v>14</v>
      </c>
      <c r="I122">
        <v>81116</v>
      </c>
      <c r="J122" t="s">
        <v>627</v>
      </c>
    </row>
    <row r="123" spans="1:10" hidden="1" x14ac:dyDescent="0.2">
      <c r="A123" t="s">
        <v>628</v>
      </c>
      <c r="B123" t="s">
        <v>622</v>
      </c>
      <c r="C123" t="s">
        <v>144</v>
      </c>
      <c r="D123" t="s">
        <v>191</v>
      </c>
      <c r="E123">
        <v>241203</v>
      </c>
      <c r="G123" s="1" t="s">
        <v>629</v>
      </c>
      <c r="H123" t="s">
        <v>14</v>
      </c>
      <c r="I123">
        <v>80940</v>
      </c>
      <c r="J123" t="s">
        <v>630</v>
      </c>
    </row>
    <row r="124" spans="1:10" hidden="1" x14ac:dyDescent="0.2">
      <c r="A124" t="s">
        <v>631</v>
      </c>
      <c r="B124" t="s">
        <v>622</v>
      </c>
      <c r="C124" t="s">
        <v>144</v>
      </c>
      <c r="D124" t="s">
        <v>191</v>
      </c>
      <c r="E124">
        <v>241203</v>
      </c>
      <c r="G124" t="s">
        <v>632</v>
      </c>
      <c r="H124" t="s">
        <v>14</v>
      </c>
      <c r="I124">
        <v>80972</v>
      </c>
      <c r="J124" t="s">
        <v>633</v>
      </c>
    </row>
    <row r="125" spans="1:10" hidden="1" x14ac:dyDescent="0.2">
      <c r="A125" t="s">
        <v>634</v>
      </c>
      <c r="B125" t="s">
        <v>622</v>
      </c>
      <c r="C125" t="s">
        <v>20</v>
      </c>
      <c r="D125" t="s">
        <v>191</v>
      </c>
      <c r="E125">
        <v>241203</v>
      </c>
      <c r="G125" t="s">
        <v>635</v>
      </c>
      <c r="H125" t="s">
        <v>14</v>
      </c>
      <c r="I125">
        <v>81140</v>
      </c>
      <c r="J125" t="s">
        <v>636</v>
      </c>
    </row>
    <row r="126" spans="1:10" hidden="1" x14ac:dyDescent="0.2">
      <c r="A126" t="s">
        <v>637</v>
      </c>
      <c r="B126" t="s">
        <v>622</v>
      </c>
      <c r="C126" t="s">
        <v>20</v>
      </c>
      <c r="D126" t="s">
        <v>191</v>
      </c>
      <c r="E126">
        <v>241203</v>
      </c>
      <c r="G126" t="s">
        <v>638</v>
      </c>
      <c r="H126" t="s">
        <v>14</v>
      </c>
      <c r="I126">
        <v>81116</v>
      </c>
      <c r="J126" t="s">
        <v>639</v>
      </c>
    </row>
    <row r="127" spans="1:10" hidden="1" x14ac:dyDescent="0.2">
      <c r="A127" t="s">
        <v>640</v>
      </c>
      <c r="B127" t="s">
        <v>622</v>
      </c>
      <c r="C127" t="s">
        <v>27</v>
      </c>
      <c r="D127" t="s">
        <v>191</v>
      </c>
      <c r="E127">
        <v>241203</v>
      </c>
      <c r="G127" t="s">
        <v>641</v>
      </c>
      <c r="H127" t="s">
        <v>14</v>
      </c>
      <c r="I127">
        <v>80940</v>
      </c>
      <c r="J127" t="s">
        <v>642</v>
      </c>
    </row>
    <row r="128" spans="1:10" hidden="1" x14ac:dyDescent="0.2">
      <c r="A128" t="s">
        <v>643</v>
      </c>
      <c r="B128" t="s">
        <v>622</v>
      </c>
      <c r="C128" t="s">
        <v>27</v>
      </c>
      <c r="D128" t="s">
        <v>191</v>
      </c>
      <c r="E128">
        <v>241203</v>
      </c>
      <c r="G128" t="s">
        <v>644</v>
      </c>
      <c r="H128" t="s">
        <v>14</v>
      </c>
      <c r="I128">
        <v>80972</v>
      </c>
      <c r="J128" t="s">
        <v>645</v>
      </c>
    </row>
    <row r="129" spans="1:10" ht="16.5" x14ac:dyDescent="0.2">
      <c r="A129" t="s">
        <v>1046</v>
      </c>
      <c r="B129" t="s">
        <v>991</v>
      </c>
      <c r="C129" t="s">
        <v>11</v>
      </c>
      <c r="D129" t="s">
        <v>1047</v>
      </c>
      <c r="E129">
        <v>241203</v>
      </c>
      <c r="F129" s="7">
        <f t="shared" ref="F129:F136" si="3">DATE(2000+LEFT(E129,2), MID(E129,3,2), RIGHT(E129,2))</f>
        <v>45629</v>
      </c>
      <c r="G129" t="s">
        <v>1048</v>
      </c>
      <c r="H129" t="s">
        <v>6</v>
      </c>
      <c r="I129">
        <v>79036</v>
      </c>
      <c r="J129" t="s">
        <v>1049</v>
      </c>
    </row>
    <row r="130" spans="1:10" ht="16.5" x14ac:dyDescent="0.2">
      <c r="A130" t="s">
        <v>1050</v>
      </c>
      <c r="B130" t="s">
        <v>991</v>
      </c>
      <c r="C130" t="s">
        <v>11</v>
      </c>
      <c r="D130" t="s">
        <v>1047</v>
      </c>
      <c r="E130">
        <v>241203</v>
      </c>
      <c r="F130" s="7">
        <f t="shared" si="3"/>
        <v>45629</v>
      </c>
      <c r="G130">
        <v>3313</v>
      </c>
      <c r="H130" t="s">
        <v>6</v>
      </c>
      <c r="I130">
        <v>79016</v>
      </c>
      <c r="J130" t="s">
        <v>1051</v>
      </c>
    </row>
    <row r="131" spans="1:10" ht="16.5" x14ac:dyDescent="0.2">
      <c r="A131" t="s">
        <v>1052</v>
      </c>
      <c r="B131" t="s">
        <v>991</v>
      </c>
      <c r="C131" t="s">
        <v>27</v>
      </c>
      <c r="D131" t="s">
        <v>1047</v>
      </c>
      <c r="E131">
        <v>241203</v>
      </c>
      <c r="F131" s="7">
        <f t="shared" si="3"/>
        <v>45629</v>
      </c>
      <c r="G131" t="s">
        <v>1053</v>
      </c>
      <c r="H131" t="s">
        <v>6</v>
      </c>
      <c r="I131">
        <v>78776</v>
      </c>
      <c r="J131" t="s">
        <v>1054</v>
      </c>
    </row>
    <row r="132" spans="1:10" ht="16.5" x14ac:dyDescent="0.2">
      <c r="A132" t="s">
        <v>1055</v>
      </c>
      <c r="B132" t="s">
        <v>991</v>
      </c>
      <c r="C132" t="s">
        <v>27</v>
      </c>
      <c r="D132" t="s">
        <v>1047</v>
      </c>
      <c r="E132">
        <v>241203</v>
      </c>
      <c r="F132" s="7">
        <f t="shared" si="3"/>
        <v>45629</v>
      </c>
      <c r="G132" t="s">
        <v>1056</v>
      </c>
      <c r="H132" t="s">
        <v>6</v>
      </c>
      <c r="I132">
        <v>78760</v>
      </c>
      <c r="J132" t="s">
        <v>1057</v>
      </c>
    </row>
    <row r="133" spans="1:10" ht="16.5" x14ac:dyDescent="0.2">
      <c r="A133" t="s">
        <v>1046</v>
      </c>
      <c r="B133" t="s">
        <v>991</v>
      </c>
      <c r="C133" t="s">
        <v>11</v>
      </c>
      <c r="D133" t="s">
        <v>1047</v>
      </c>
      <c r="E133">
        <v>241203</v>
      </c>
      <c r="F133" s="7">
        <f t="shared" si="3"/>
        <v>45629</v>
      </c>
      <c r="G133" t="s">
        <v>1048</v>
      </c>
      <c r="H133" t="s">
        <v>6</v>
      </c>
      <c r="I133">
        <v>79036</v>
      </c>
      <c r="J133" t="s">
        <v>1208</v>
      </c>
    </row>
    <row r="134" spans="1:10" ht="16.5" x14ac:dyDescent="0.2">
      <c r="A134" t="s">
        <v>1050</v>
      </c>
      <c r="B134" t="s">
        <v>991</v>
      </c>
      <c r="C134" t="s">
        <v>11</v>
      </c>
      <c r="D134" t="s">
        <v>1047</v>
      </c>
      <c r="E134">
        <v>241203</v>
      </c>
      <c r="F134" s="7">
        <f t="shared" si="3"/>
        <v>45629</v>
      </c>
      <c r="G134">
        <v>3313</v>
      </c>
      <c r="H134" t="s">
        <v>6</v>
      </c>
      <c r="I134">
        <v>79016</v>
      </c>
      <c r="J134" t="s">
        <v>1209</v>
      </c>
    </row>
    <row r="135" spans="1:10" ht="16.5" x14ac:dyDescent="0.2">
      <c r="A135" t="s">
        <v>1052</v>
      </c>
      <c r="B135" t="s">
        <v>991</v>
      </c>
      <c r="C135" t="s">
        <v>27</v>
      </c>
      <c r="D135" t="s">
        <v>1047</v>
      </c>
      <c r="E135">
        <v>241203</v>
      </c>
      <c r="F135" s="7">
        <f t="shared" si="3"/>
        <v>45629</v>
      </c>
      <c r="G135" t="s">
        <v>1053</v>
      </c>
      <c r="H135" t="s">
        <v>6</v>
      </c>
      <c r="I135">
        <v>78776</v>
      </c>
      <c r="J135" t="s">
        <v>1210</v>
      </c>
    </row>
    <row r="136" spans="1:10" ht="16.5" x14ac:dyDescent="0.2">
      <c r="A136" t="s">
        <v>1055</v>
      </c>
      <c r="B136" t="s">
        <v>991</v>
      </c>
      <c r="C136" t="s">
        <v>27</v>
      </c>
      <c r="D136" t="s">
        <v>1047</v>
      </c>
      <c r="E136">
        <v>241203</v>
      </c>
      <c r="F136" s="7">
        <f t="shared" si="3"/>
        <v>45629</v>
      </c>
      <c r="G136" t="s">
        <v>1056</v>
      </c>
      <c r="H136" t="s">
        <v>6</v>
      </c>
      <c r="I136">
        <v>78760</v>
      </c>
      <c r="J136" t="s">
        <v>1211</v>
      </c>
    </row>
    <row r="137" spans="1:10" hidden="1" x14ac:dyDescent="0.2">
      <c r="A137" t="s">
        <v>654</v>
      </c>
      <c r="B137" t="s">
        <v>622</v>
      </c>
      <c r="C137" t="s">
        <v>11</v>
      </c>
      <c r="D137" t="s">
        <v>655</v>
      </c>
      <c r="E137">
        <v>241205</v>
      </c>
      <c r="G137" t="s">
        <v>656</v>
      </c>
      <c r="H137" t="s">
        <v>14</v>
      </c>
      <c r="I137">
        <v>81144</v>
      </c>
      <c r="J137" t="s">
        <v>657</v>
      </c>
    </row>
    <row r="138" spans="1:10" hidden="1" x14ac:dyDescent="0.2">
      <c r="A138" t="s">
        <v>658</v>
      </c>
      <c r="B138" t="s">
        <v>622</v>
      </c>
      <c r="C138" t="s">
        <v>11</v>
      </c>
      <c r="D138" t="s">
        <v>655</v>
      </c>
      <c r="E138">
        <v>241205</v>
      </c>
      <c r="G138" t="s">
        <v>659</v>
      </c>
      <c r="H138" t="s">
        <v>14</v>
      </c>
      <c r="I138">
        <v>81120</v>
      </c>
      <c r="J138" t="s">
        <v>660</v>
      </c>
    </row>
    <row r="139" spans="1:10" hidden="1" x14ac:dyDescent="0.2">
      <c r="A139" t="s">
        <v>661</v>
      </c>
      <c r="B139" t="s">
        <v>622</v>
      </c>
      <c r="C139" t="s">
        <v>144</v>
      </c>
      <c r="D139" t="s">
        <v>655</v>
      </c>
      <c r="E139">
        <v>241205</v>
      </c>
      <c r="G139" t="s">
        <v>662</v>
      </c>
      <c r="H139" t="s">
        <v>14</v>
      </c>
      <c r="I139">
        <v>80944</v>
      </c>
      <c r="J139" t="s">
        <v>663</v>
      </c>
    </row>
    <row r="140" spans="1:10" hidden="1" x14ac:dyDescent="0.2">
      <c r="A140" t="s">
        <v>664</v>
      </c>
      <c r="B140" t="s">
        <v>622</v>
      </c>
      <c r="C140" t="s">
        <v>144</v>
      </c>
      <c r="D140" t="s">
        <v>655</v>
      </c>
      <c r="E140">
        <v>241205</v>
      </c>
      <c r="G140" t="s">
        <v>665</v>
      </c>
      <c r="H140" t="s">
        <v>14</v>
      </c>
      <c r="I140">
        <v>80972</v>
      </c>
      <c r="J140" t="s">
        <v>666</v>
      </c>
    </row>
    <row r="141" spans="1:10" hidden="1" x14ac:dyDescent="0.2">
      <c r="A141" t="s">
        <v>667</v>
      </c>
      <c r="B141" t="s">
        <v>622</v>
      </c>
      <c r="C141" t="s">
        <v>20</v>
      </c>
      <c r="D141" t="s">
        <v>655</v>
      </c>
      <c r="E141">
        <v>241205</v>
      </c>
      <c r="G141" t="s">
        <v>668</v>
      </c>
      <c r="H141" t="s">
        <v>14</v>
      </c>
      <c r="I141">
        <v>81144</v>
      </c>
      <c r="J141" t="s">
        <v>669</v>
      </c>
    </row>
    <row r="142" spans="1:10" hidden="1" x14ac:dyDescent="0.2">
      <c r="A142" t="s">
        <v>670</v>
      </c>
      <c r="B142" t="s">
        <v>622</v>
      </c>
      <c r="C142" t="s">
        <v>20</v>
      </c>
      <c r="D142" t="s">
        <v>655</v>
      </c>
      <c r="E142">
        <v>241205</v>
      </c>
      <c r="G142" t="s">
        <v>671</v>
      </c>
      <c r="H142" t="s">
        <v>14</v>
      </c>
      <c r="I142">
        <v>81120</v>
      </c>
      <c r="J142" t="s">
        <v>672</v>
      </c>
    </row>
    <row r="143" spans="1:10" hidden="1" x14ac:dyDescent="0.2">
      <c r="A143" t="s">
        <v>673</v>
      </c>
      <c r="B143" t="s">
        <v>622</v>
      </c>
      <c r="C143" t="s">
        <v>27</v>
      </c>
      <c r="D143" t="s">
        <v>655</v>
      </c>
      <c r="E143">
        <v>241205</v>
      </c>
      <c r="G143" t="s">
        <v>674</v>
      </c>
      <c r="H143" t="s">
        <v>14</v>
      </c>
      <c r="I143">
        <v>80944</v>
      </c>
      <c r="J143" t="s">
        <v>675</v>
      </c>
    </row>
    <row r="144" spans="1:10" hidden="1" x14ac:dyDescent="0.2">
      <c r="A144" t="s">
        <v>676</v>
      </c>
      <c r="B144" t="s">
        <v>622</v>
      </c>
      <c r="C144" t="s">
        <v>27</v>
      </c>
      <c r="D144" t="s">
        <v>655</v>
      </c>
      <c r="E144">
        <v>241205</v>
      </c>
      <c r="G144" t="s">
        <v>677</v>
      </c>
      <c r="H144" t="s">
        <v>14</v>
      </c>
      <c r="I144">
        <v>80972</v>
      </c>
      <c r="J144" t="s">
        <v>678</v>
      </c>
    </row>
    <row r="145" spans="1:10" hidden="1" x14ac:dyDescent="0.2">
      <c r="A145" t="s">
        <v>679</v>
      </c>
      <c r="B145" t="s">
        <v>622</v>
      </c>
      <c r="C145" t="s">
        <v>11</v>
      </c>
      <c r="D145" t="s">
        <v>494</v>
      </c>
      <c r="E145">
        <v>241206</v>
      </c>
      <c r="G145" t="s">
        <v>680</v>
      </c>
      <c r="H145" t="s">
        <v>14</v>
      </c>
      <c r="I145">
        <v>81272</v>
      </c>
      <c r="J145" t="s">
        <v>681</v>
      </c>
    </row>
    <row r="146" spans="1:10" hidden="1" x14ac:dyDescent="0.2">
      <c r="A146" t="s">
        <v>682</v>
      </c>
      <c r="B146" t="s">
        <v>622</v>
      </c>
      <c r="C146" t="s">
        <v>144</v>
      </c>
      <c r="D146" t="s">
        <v>494</v>
      </c>
      <c r="E146">
        <v>241206</v>
      </c>
      <c r="G146" t="s">
        <v>683</v>
      </c>
      <c r="H146" t="s">
        <v>14</v>
      </c>
      <c r="I146">
        <v>81100</v>
      </c>
      <c r="J146" t="s">
        <v>684</v>
      </c>
    </row>
    <row r="147" spans="1:10" hidden="1" x14ac:dyDescent="0.2">
      <c r="A147" t="s">
        <v>685</v>
      </c>
      <c r="B147" t="s">
        <v>622</v>
      </c>
      <c r="C147" t="s">
        <v>20</v>
      </c>
      <c r="D147" t="s">
        <v>494</v>
      </c>
      <c r="E147">
        <v>241206</v>
      </c>
      <c r="G147" t="s">
        <v>686</v>
      </c>
      <c r="H147" t="s">
        <v>14</v>
      </c>
      <c r="I147">
        <v>81272</v>
      </c>
      <c r="J147" t="s">
        <v>687</v>
      </c>
    </row>
    <row r="148" spans="1:10" hidden="1" x14ac:dyDescent="0.2">
      <c r="A148" t="s">
        <v>688</v>
      </c>
      <c r="B148" t="s">
        <v>622</v>
      </c>
      <c r="C148" t="s">
        <v>27</v>
      </c>
      <c r="D148" t="s">
        <v>494</v>
      </c>
      <c r="E148">
        <v>241206</v>
      </c>
      <c r="G148" t="s">
        <v>689</v>
      </c>
      <c r="H148" t="s">
        <v>14</v>
      </c>
      <c r="I148">
        <v>81100</v>
      </c>
      <c r="J148" t="s">
        <v>690</v>
      </c>
    </row>
    <row r="149" spans="1:10" hidden="1" x14ac:dyDescent="0.2">
      <c r="A149" t="s">
        <v>279</v>
      </c>
      <c r="B149" t="s">
        <v>246</v>
      </c>
      <c r="C149" t="s">
        <v>11</v>
      </c>
      <c r="D149" t="s">
        <v>280</v>
      </c>
      <c r="E149">
        <v>241210</v>
      </c>
      <c r="G149" t="s">
        <v>281</v>
      </c>
      <c r="H149" t="s">
        <v>14</v>
      </c>
      <c r="I149">
        <v>82656</v>
      </c>
      <c r="J149" t="s">
        <v>282</v>
      </c>
    </row>
    <row r="150" spans="1:10" hidden="1" x14ac:dyDescent="0.2">
      <c r="A150" t="s">
        <v>283</v>
      </c>
      <c r="B150" t="s">
        <v>246</v>
      </c>
      <c r="C150" t="s">
        <v>20</v>
      </c>
      <c r="D150" t="s">
        <v>280</v>
      </c>
      <c r="E150">
        <v>241210</v>
      </c>
      <c r="G150" t="s">
        <v>284</v>
      </c>
      <c r="H150" t="s">
        <v>14</v>
      </c>
      <c r="I150">
        <v>82656</v>
      </c>
      <c r="J150" t="s">
        <v>285</v>
      </c>
    </row>
    <row r="151" spans="1:10" hidden="1" x14ac:dyDescent="0.2">
      <c r="A151" t="s">
        <v>286</v>
      </c>
      <c r="B151" t="s">
        <v>246</v>
      </c>
      <c r="C151" t="s">
        <v>27</v>
      </c>
      <c r="D151" t="s">
        <v>280</v>
      </c>
      <c r="E151">
        <v>241210</v>
      </c>
      <c r="G151" t="s">
        <v>287</v>
      </c>
      <c r="H151" t="s">
        <v>14</v>
      </c>
      <c r="I151">
        <v>82656</v>
      </c>
      <c r="J151" t="s">
        <v>288</v>
      </c>
    </row>
    <row r="152" spans="1:10" hidden="1" x14ac:dyDescent="0.2">
      <c r="A152" t="s">
        <v>1136</v>
      </c>
      <c r="B152" t="s">
        <v>1123</v>
      </c>
      <c r="C152" t="s">
        <v>11</v>
      </c>
      <c r="D152" t="s">
        <v>1137</v>
      </c>
      <c r="E152">
        <v>241210</v>
      </c>
      <c r="G152">
        <v>6368</v>
      </c>
      <c r="H152" t="s">
        <v>14</v>
      </c>
      <c r="I152">
        <v>76192</v>
      </c>
      <c r="J152" t="s">
        <v>1138</v>
      </c>
    </row>
    <row r="153" spans="1:10" hidden="1" x14ac:dyDescent="0.2">
      <c r="A153" t="s">
        <v>1139</v>
      </c>
      <c r="B153" t="s">
        <v>1123</v>
      </c>
      <c r="C153" t="s">
        <v>20</v>
      </c>
      <c r="D153" t="s">
        <v>1137</v>
      </c>
      <c r="E153">
        <v>241210</v>
      </c>
      <c r="G153">
        <v>4739</v>
      </c>
      <c r="H153" t="s">
        <v>14</v>
      </c>
      <c r="I153">
        <v>76104</v>
      </c>
      <c r="J153" t="s">
        <v>1140</v>
      </c>
    </row>
    <row r="154" spans="1:10" hidden="1" x14ac:dyDescent="0.2">
      <c r="A154" t="s">
        <v>1141</v>
      </c>
      <c r="B154" t="s">
        <v>1123</v>
      </c>
      <c r="C154" t="s">
        <v>27</v>
      </c>
      <c r="D154" t="s">
        <v>1137</v>
      </c>
      <c r="E154">
        <v>241210</v>
      </c>
      <c r="G154">
        <v>3775</v>
      </c>
      <c r="H154" t="s">
        <v>14</v>
      </c>
      <c r="I154">
        <v>75940</v>
      </c>
      <c r="J154" t="s">
        <v>1142</v>
      </c>
    </row>
    <row r="155" spans="1:10" hidden="1" x14ac:dyDescent="0.2">
      <c r="A155" t="s">
        <v>289</v>
      </c>
      <c r="B155" t="s">
        <v>246</v>
      </c>
      <c r="C155" t="s">
        <v>11</v>
      </c>
      <c r="D155" t="s">
        <v>290</v>
      </c>
      <c r="E155">
        <v>241213</v>
      </c>
      <c r="G155" t="s">
        <v>291</v>
      </c>
      <c r="H155" t="s">
        <v>14</v>
      </c>
      <c r="I155">
        <v>82736</v>
      </c>
      <c r="J155" t="s">
        <v>292</v>
      </c>
    </row>
    <row r="156" spans="1:10" hidden="1" x14ac:dyDescent="0.2">
      <c r="A156" t="s">
        <v>293</v>
      </c>
      <c r="B156" t="s">
        <v>246</v>
      </c>
      <c r="C156" t="s">
        <v>20</v>
      </c>
      <c r="D156" t="s">
        <v>290</v>
      </c>
      <c r="E156">
        <v>241213</v>
      </c>
      <c r="G156" t="s">
        <v>294</v>
      </c>
      <c r="H156" t="s">
        <v>14</v>
      </c>
      <c r="I156">
        <v>82736</v>
      </c>
      <c r="J156" t="s">
        <v>295</v>
      </c>
    </row>
    <row r="157" spans="1:10" hidden="1" x14ac:dyDescent="0.2">
      <c r="A157" t="s">
        <v>296</v>
      </c>
      <c r="B157" t="s">
        <v>246</v>
      </c>
      <c r="C157" t="s">
        <v>27</v>
      </c>
      <c r="D157" t="s">
        <v>290</v>
      </c>
      <c r="E157">
        <v>241213</v>
      </c>
      <c r="G157" t="s">
        <v>297</v>
      </c>
      <c r="H157" t="s">
        <v>14</v>
      </c>
      <c r="I157">
        <v>82736</v>
      </c>
      <c r="J157" t="s">
        <v>298</v>
      </c>
    </row>
    <row r="158" spans="1:10" ht="16.5" x14ac:dyDescent="0.2">
      <c r="A158" t="s">
        <v>302</v>
      </c>
      <c r="B158" t="s">
        <v>246</v>
      </c>
      <c r="C158" t="s">
        <v>11</v>
      </c>
      <c r="D158" t="s">
        <v>290</v>
      </c>
      <c r="E158">
        <v>241213</v>
      </c>
      <c r="F158" s="7">
        <f>DATE(2000+LEFT(E158,2), MID(E158,3,2), RIGHT(E158,2))</f>
        <v>45639</v>
      </c>
      <c r="G158" t="s">
        <v>291</v>
      </c>
      <c r="H158" t="s">
        <v>6</v>
      </c>
      <c r="I158">
        <v>82736</v>
      </c>
      <c r="J158" t="s">
        <v>303</v>
      </c>
    </row>
    <row r="159" spans="1:10" ht="16.5" x14ac:dyDescent="0.2">
      <c r="A159" t="s">
        <v>304</v>
      </c>
      <c r="B159" t="s">
        <v>246</v>
      </c>
      <c r="C159" t="s">
        <v>20</v>
      </c>
      <c r="D159" t="s">
        <v>290</v>
      </c>
      <c r="E159">
        <v>241213</v>
      </c>
      <c r="F159" s="7">
        <f>DATE(2000+LEFT(E159,2), MID(E159,3,2), RIGHT(E159,2))</f>
        <v>45639</v>
      </c>
      <c r="G159" t="s">
        <v>294</v>
      </c>
      <c r="H159" t="s">
        <v>6</v>
      </c>
      <c r="I159">
        <v>82736</v>
      </c>
      <c r="J159" t="s">
        <v>305</v>
      </c>
    </row>
    <row r="160" spans="1:10" ht="16.5" x14ac:dyDescent="0.2">
      <c r="A160" t="s">
        <v>306</v>
      </c>
      <c r="B160" t="s">
        <v>246</v>
      </c>
      <c r="C160" t="s">
        <v>27</v>
      </c>
      <c r="D160" t="s">
        <v>290</v>
      </c>
      <c r="E160">
        <v>241213</v>
      </c>
      <c r="F160" s="7">
        <f>DATE(2000+LEFT(E160,2), MID(E160,3,2), RIGHT(E160,2))</f>
        <v>45639</v>
      </c>
      <c r="G160" t="s">
        <v>297</v>
      </c>
      <c r="H160" t="s">
        <v>6</v>
      </c>
      <c r="I160">
        <v>82736</v>
      </c>
      <c r="J160" t="s">
        <v>307</v>
      </c>
    </row>
    <row r="161" spans="1:10" hidden="1" x14ac:dyDescent="0.2">
      <c r="A161" t="s">
        <v>1006</v>
      </c>
      <c r="B161" t="s">
        <v>991</v>
      </c>
      <c r="C161" t="s">
        <v>11</v>
      </c>
      <c r="D161" t="s">
        <v>1007</v>
      </c>
      <c r="E161">
        <v>241213</v>
      </c>
      <c r="G161" t="s">
        <v>1008</v>
      </c>
      <c r="H161" t="s">
        <v>14</v>
      </c>
      <c r="I161">
        <v>79344</v>
      </c>
      <c r="J161" t="s">
        <v>1009</v>
      </c>
    </row>
    <row r="162" spans="1:10" hidden="1" x14ac:dyDescent="0.2">
      <c r="A162" t="s">
        <v>1010</v>
      </c>
      <c r="B162" t="s">
        <v>991</v>
      </c>
      <c r="C162" t="s">
        <v>27</v>
      </c>
      <c r="D162" t="s">
        <v>1007</v>
      </c>
      <c r="E162">
        <v>241213</v>
      </c>
      <c r="G162" t="s">
        <v>1011</v>
      </c>
      <c r="H162" t="s">
        <v>14</v>
      </c>
      <c r="I162">
        <v>79076</v>
      </c>
      <c r="J162" t="s">
        <v>1012</v>
      </c>
    </row>
    <row r="163" spans="1:10" hidden="1" x14ac:dyDescent="0.2">
      <c r="A163" t="s">
        <v>1143</v>
      </c>
      <c r="B163" t="s">
        <v>1123</v>
      </c>
      <c r="C163" t="s">
        <v>11</v>
      </c>
      <c r="D163" t="s">
        <v>1144</v>
      </c>
      <c r="E163">
        <v>241213</v>
      </c>
      <c r="G163">
        <v>6770</v>
      </c>
      <c r="H163" t="s">
        <v>14</v>
      </c>
      <c r="I163">
        <v>76208</v>
      </c>
      <c r="J163" t="s">
        <v>1145</v>
      </c>
    </row>
    <row r="164" spans="1:10" hidden="1" x14ac:dyDescent="0.2">
      <c r="A164" t="s">
        <v>1146</v>
      </c>
      <c r="B164" t="s">
        <v>1123</v>
      </c>
      <c r="C164" t="s">
        <v>20</v>
      </c>
      <c r="D164" t="s">
        <v>1144</v>
      </c>
      <c r="E164">
        <v>241213</v>
      </c>
      <c r="G164" s="1" t="s">
        <v>1147</v>
      </c>
      <c r="H164" t="s">
        <v>14</v>
      </c>
      <c r="I164">
        <v>76120</v>
      </c>
      <c r="J164" t="s">
        <v>1148</v>
      </c>
    </row>
    <row r="165" spans="1:10" hidden="1" x14ac:dyDescent="0.2">
      <c r="A165" t="s">
        <v>1149</v>
      </c>
      <c r="B165" t="s">
        <v>1123</v>
      </c>
      <c r="C165" t="s">
        <v>27</v>
      </c>
      <c r="D165" t="s">
        <v>1144</v>
      </c>
      <c r="E165">
        <v>241213</v>
      </c>
      <c r="G165" t="s">
        <v>1150</v>
      </c>
      <c r="H165" t="s">
        <v>14</v>
      </c>
      <c r="I165">
        <v>75960</v>
      </c>
      <c r="J165" t="s">
        <v>1151</v>
      </c>
    </row>
    <row r="166" spans="1:10" ht="16.5" x14ac:dyDescent="0.2">
      <c r="A166" t="s">
        <v>1184</v>
      </c>
      <c r="B166" t="s">
        <v>1123</v>
      </c>
      <c r="C166" t="s">
        <v>11</v>
      </c>
      <c r="D166" t="s">
        <v>1144</v>
      </c>
      <c r="E166">
        <v>241213</v>
      </c>
      <c r="F166" s="7">
        <f>DATE(2000+LEFT(E166,2), MID(E166,3,2), RIGHT(E166,2))</f>
        <v>45639</v>
      </c>
      <c r="G166">
        <v>6770</v>
      </c>
      <c r="H166" t="s">
        <v>6</v>
      </c>
      <c r="I166">
        <v>76208</v>
      </c>
      <c r="J166" t="s">
        <v>1185</v>
      </c>
    </row>
    <row r="167" spans="1:10" ht="16.5" x14ac:dyDescent="0.2">
      <c r="A167" t="s">
        <v>1186</v>
      </c>
      <c r="B167" t="s">
        <v>1123</v>
      </c>
      <c r="C167" t="s">
        <v>20</v>
      </c>
      <c r="D167" t="s">
        <v>1144</v>
      </c>
      <c r="E167">
        <v>241213</v>
      </c>
      <c r="F167" s="7">
        <f>DATE(2000+LEFT(E167,2), MID(E167,3,2), RIGHT(E167,2))</f>
        <v>45639</v>
      </c>
      <c r="G167" s="1" t="s">
        <v>1147</v>
      </c>
      <c r="H167" t="s">
        <v>6</v>
      </c>
      <c r="I167">
        <v>76120</v>
      </c>
      <c r="J167" t="s">
        <v>1187</v>
      </c>
    </row>
    <row r="168" spans="1:10" ht="16.5" x14ac:dyDescent="0.2">
      <c r="A168" t="s">
        <v>1188</v>
      </c>
      <c r="B168" t="s">
        <v>1123</v>
      </c>
      <c r="C168" t="s">
        <v>27</v>
      </c>
      <c r="D168" t="s">
        <v>1144</v>
      </c>
      <c r="E168">
        <v>241213</v>
      </c>
      <c r="F168" s="7">
        <f>DATE(2000+LEFT(E168,2), MID(E168,3,2), RIGHT(E168,2))</f>
        <v>45639</v>
      </c>
      <c r="G168" t="s">
        <v>1150</v>
      </c>
      <c r="H168" t="s">
        <v>6</v>
      </c>
      <c r="I168">
        <v>75960</v>
      </c>
      <c r="J168" t="s">
        <v>1189</v>
      </c>
    </row>
    <row r="169" spans="1:10" hidden="1" x14ac:dyDescent="0.2">
      <c r="A169" t="s">
        <v>1006</v>
      </c>
      <c r="B169" t="s">
        <v>991</v>
      </c>
      <c r="C169" t="s">
        <v>11</v>
      </c>
      <c r="D169" t="s">
        <v>1007</v>
      </c>
      <c r="E169">
        <v>241213</v>
      </c>
      <c r="G169" t="s">
        <v>1008</v>
      </c>
      <c r="H169" t="s">
        <v>14</v>
      </c>
      <c r="I169">
        <v>79344</v>
      </c>
      <c r="J169" t="s">
        <v>1196</v>
      </c>
    </row>
    <row r="170" spans="1:10" hidden="1" x14ac:dyDescent="0.2">
      <c r="A170" t="s">
        <v>1010</v>
      </c>
      <c r="B170" t="s">
        <v>991</v>
      </c>
      <c r="C170" t="s">
        <v>27</v>
      </c>
      <c r="D170" t="s">
        <v>1007</v>
      </c>
      <c r="E170">
        <v>241213</v>
      </c>
      <c r="G170" t="s">
        <v>1011</v>
      </c>
      <c r="H170" t="s">
        <v>14</v>
      </c>
      <c r="I170">
        <v>79076</v>
      </c>
      <c r="J170" t="s">
        <v>1197</v>
      </c>
    </row>
    <row r="171" spans="1:10" ht="16.5" x14ac:dyDescent="0.2">
      <c r="A171" t="s">
        <v>548</v>
      </c>
      <c r="B171" t="s">
        <v>533</v>
      </c>
      <c r="C171" t="s">
        <v>11</v>
      </c>
      <c r="D171" t="s">
        <v>549</v>
      </c>
      <c r="E171">
        <v>241216</v>
      </c>
      <c r="F171" s="7">
        <f>DATE(2000+LEFT(E171,2), MID(E171,3,2), RIGHT(E171,2))</f>
        <v>45642</v>
      </c>
      <c r="G171">
        <v>1354</v>
      </c>
      <c r="H171" t="s">
        <v>6</v>
      </c>
      <c r="I171">
        <v>81404</v>
      </c>
      <c r="J171" t="s">
        <v>550</v>
      </c>
    </row>
    <row r="172" spans="1:10" ht="16.5" x14ac:dyDescent="0.2">
      <c r="A172" t="s">
        <v>551</v>
      </c>
      <c r="B172" t="s">
        <v>533</v>
      </c>
      <c r="C172" t="s">
        <v>20</v>
      </c>
      <c r="D172" t="s">
        <v>549</v>
      </c>
      <c r="E172">
        <v>241216</v>
      </c>
      <c r="F172" s="7">
        <f>DATE(2000+LEFT(E172,2), MID(E172,3,2), RIGHT(E172,2))</f>
        <v>45642</v>
      </c>
      <c r="G172" t="s">
        <v>552</v>
      </c>
      <c r="H172" t="s">
        <v>6</v>
      </c>
      <c r="I172">
        <v>81408</v>
      </c>
      <c r="J172" t="s">
        <v>553</v>
      </c>
    </row>
    <row r="173" spans="1:10" ht="16.5" x14ac:dyDescent="0.2">
      <c r="A173" t="s">
        <v>554</v>
      </c>
      <c r="B173" t="s">
        <v>533</v>
      </c>
      <c r="C173" t="s">
        <v>27</v>
      </c>
      <c r="D173" t="s">
        <v>549</v>
      </c>
      <c r="E173">
        <v>241216</v>
      </c>
      <c r="F173" s="7">
        <f>DATE(2000+LEFT(E173,2), MID(E173,3,2), RIGHT(E173,2))</f>
        <v>45642</v>
      </c>
      <c r="G173" t="s">
        <v>555</v>
      </c>
      <c r="H173" t="s">
        <v>6</v>
      </c>
      <c r="I173">
        <v>81236</v>
      </c>
      <c r="J173" t="s">
        <v>556</v>
      </c>
    </row>
    <row r="174" spans="1:10" hidden="1" x14ac:dyDescent="0.2">
      <c r="A174" t="s">
        <v>1013</v>
      </c>
      <c r="B174" t="s">
        <v>991</v>
      </c>
      <c r="C174" t="s">
        <v>11</v>
      </c>
      <c r="D174" t="s">
        <v>1014</v>
      </c>
      <c r="E174">
        <v>241218</v>
      </c>
      <c r="G174" t="s">
        <v>1015</v>
      </c>
      <c r="H174" t="s">
        <v>14</v>
      </c>
      <c r="I174">
        <v>79332</v>
      </c>
      <c r="J174" t="s">
        <v>1016</v>
      </c>
    </row>
    <row r="175" spans="1:10" hidden="1" x14ac:dyDescent="0.2">
      <c r="A175" t="s">
        <v>1017</v>
      </c>
      <c r="B175" t="s">
        <v>991</v>
      </c>
      <c r="C175" t="s">
        <v>27</v>
      </c>
      <c r="D175" t="s">
        <v>1014</v>
      </c>
      <c r="E175">
        <v>241218</v>
      </c>
      <c r="G175">
        <v>2992</v>
      </c>
      <c r="H175" t="s">
        <v>14</v>
      </c>
      <c r="I175">
        <v>79068</v>
      </c>
      <c r="J175" t="s">
        <v>1018</v>
      </c>
    </row>
    <row r="176" spans="1:10" ht="16.5" x14ac:dyDescent="0.2">
      <c r="A176" t="s">
        <v>1058</v>
      </c>
      <c r="B176" t="s">
        <v>991</v>
      </c>
      <c r="C176" t="s">
        <v>11</v>
      </c>
      <c r="D176" t="s">
        <v>1014</v>
      </c>
      <c r="E176">
        <v>241218</v>
      </c>
      <c r="F176" s="7">
        <f>DATE(2000+LEFT(E176,2), MID(E176,3,2), RIGHT(E176,2))</f>
        <v>45644</v>
      </c>
      <c r="G176" t="s">
        <v>1015</v>
      </c>
      <c r="H176" t="s">
        <v>6</v>
      </c>
      <c r="I176">
        <v>79332</v>
      </c>
      <c r="J176" t="s">
        <v>1059</v>
      </c>
    </row>
    <row r="177" spans="1:10" ht="16.5" x14ac:dyDescent="0.2">
      <c r="A177" t="s">
        <v>1060</v>
      </c>
      <c r="B177" t="s">
        <v>991</v>
      </c>
      <c r="C177" t="s">
        <v>27</v>
      </c>
      <c r="D177" t="s">
        <v>1014</v>
      </c>
      <c r="E177">
        <v>241218</v>
      </c>
      <c r="F177" s="7">
        <f>DATE(2000+LEFT(E177,2), MID(E177,3,2), RIGHT(E177,2))</f>
        <v>45644</v>
      </c>
      <c r="G177">
        <v>2992</v>
      </c>
      <c r="H177" t="s">
        <v>6</v>
      </c>
      <c r="I177">
        <v>79068</v>
      </c>
      <c r="J177" t="s">
        <v>1061</v>
      </c>
    </row>
    <row r="178" spans="1:10" hidden="1" x14ac:dyDescent="0.2">
      <c r="A178" t="s">
        <v>1013</v>
      </c>
      <c r="B178" t="s">
        <v>991</v>
      </c>
      <c r="C178" t="s">
        <v>11</v>
      </c>
      <c r="D178" t="s">
        <v>1014</v>
      </c>
      <c r="E178">
        <v>241218</v>
      </c>
      <c r="G178" t="s">
        <v>1015</v>
      </c>
      <c r="H178" t="s">
        <v>14</v>
      </c>
      <c r="I178">
        <v>79332</v>
      </c>
      <c r="J178" t="s">
        <v>1198</v>
      </c>
    </row>
    <row r="179" spans="1:10" hidden="1" x14ac:dyDescent="0.2">
      <c r="A179" t="s">
        <v>1017</v>
      </c>
      <c r="B179" t="s">
        <v>991</v>
      </c>
      <c r="C179" t="s">
        <v>27</v>
      </c>
      <c r="D179" t="s">
        <v>1014</v>
      </c>
      <c r="E179">
        <v>241218</v>
      </c>
      <c r="G179">
        <v>2992</v>
      </c>
      <c r="H179" t="s">
        <v>14</v>
      </c>
      <c r="I179">
        <v>79068</v>
      </c>
      <c r="J179" t="s">
        <v>1199</v>
      </c>
    </row>
    <row r="180" spans="1:10" ht="16.5" x14ac:dyDescent="0.2">
      <c r="A180" t="s">
        <v>1058</v>
      </c>
      <c r="B180" t="s">
        <v>991</v>
      </c>
      <c r="C180" t="s">
        <v>11</v>
      </c>
      <c r="D180" t="s">
        <v>1014</v>
      </c>
      <c r="E180">
        <v>241218</v>
      </c>
      <c r="F180" s="7">
        <f>DATE(2000+LEFT(E180,2), MID(E180,3,2), RIGHT(E180,2))</f>
        <v>45644</v>
      </c>
      <c r="G180" t="s">
        <v>1015</v>
      </c>
      <c r="H180" t="s">
        <v>6</v>
      </c>
      <c r="I180">
        <v>79332</v>
      </c>
      <c r="J180" t="s">
        <v>1212</v>
      </c>
    </row>
    <row r="181" spans="1:10" ht="16.5" x14ac:dyDescent="0.2">
      <c r="A181" t="s">
        <v>1060</v>
      </c>
      <c r="B181" t="s">
        <v>991</v>
      </c>
      <c r="C181" t="s">
        <v>27</v>
      </c>
      <c r="D181" t="s">
        <v>1014</v>
      </c>
      <c r="E181">
        <v>241218</v>
      </c>
      <c r="F181" s="7">
        <f>DATE(2000+LEFT(E181,2), MID(E181,3,2), RIGHT(E181,2))</f>
        <v>45644</v>
      </c>
      <c r="G181">
        <v>2992</v>
      </c>
      <c r="H181" t="s">
        <v>6</v>
      </c>
      <c r="I181">
        <v>79068</v>
      </c>
      <c r="J181" t="s">
        <v>1213</v>
      </c>
    </row>
    <row r="182" spans="1:10" hidden="1" x14ac:dyDescent="0.2">
      <c r="A182" t="s">
        <v>220</v>
      </c>
      <c r="B182" t="s">
        <v>211</v>
      </c>
      <c r="C182" t="s">
        <v>11</v>
      </c>
      <c r="D182" t="s">
        <v>221</v>
      </c>
      <c r="E182">
        <v>241225</v>
      </c>
      <c r="G182" t="s">
        <v>222</v>
      </c>
      <c r="H182" t="s">
        <v>14</v>
      </c>
      <c r="I182">
        <v>83836</v>
      </c>
      <c r="J182" t="s">
        <v>223</v>
      </c>
    </row>
    <row r="183" spans="1:10" hidden="1" x14ac:dyDescent="0.2">
      <c r="A183" t="s">
        <v>224</v>
      </c>
      <c r="B183" t="s">
        <v>211</v>
      </c>
      <c r="C183" t="s">
        <v>20</v>
      </c>
      <c r="D183" t="s">
        <v>221</v>
      </c>
      <c r="E183">
        <v>241225</v>
      </c>
      <c r="G183" t="s">
        <v>225</v>
      </c>
      <c r="H183" t="s">
        <v>14</v>
      </c>
      <c r="I183">
        <v>83868</v>
      </c>
      <c r="J183" t="s">
        <v>226</v>
      </c>
    </row>
    <row r="184" spans="1:10" hidden="1" x14ac:dyDescent="0.2">
      <c r="A184" t="s">
        <v>227</v>
      </c>
      <c r="B184" t="s">
        <v>211</v>
      </c>
      <c r="C184" t="s">
        <v>27</v>
      </c>
      <c r="D184" t="s">
        <v>221</v>
      </c>
      <c r="E184">
        <v>241225</v>
      </c>
      <c r="G184" t="s">
        <v>228</v>
      </c>
      <c r="H184" t="s">
        <v>14</v>
      </c>
      <c r="I184">
        <v>83672</v>
      </c>
      <c r="J184" t="s">
        <v>229</v>
      </c>
    </row>
    <row r="185" spans="1:10" hidden="1" x14ac:dyDescent="0.2">
      <c r="A185" t="s">
        <v>230</v>
      </c>
      <c r="B185" t="s">
        <v>211</v>
      </c>
      <c r="C185" t="s">
        <v>11</v>
      </c>
      <c r="D185" t="s">
        <v>171</v>
      </c>
      <c r="E185">
        <v>241227</v>
      </c>
      <c r="G185" t="s">
        <v>231</v>
      </c>
      <c r="H185" t="s">
        <v>14</v>
      </c>
      <c r="I185">
        <v>84536</v>
      </c>
      <c r="J185" t="s">
        <v>232</v>
      </c>
    </row>
    <row r="186" spans="1:10" hidden="1" x14ac:dyDescent="0.2">
      <c r="A186" t="s">
        <v>233</v>
      </c>
      <c r="B186" t="s">
        <v>211</v>
      </c>
      <c r="C186" t="s">
        <v>20</v>
      </c>
      <c r="D186" t="s">
        <v>171</v>
      </c>
      <c r="E186">
        <v>241227</v>
      </c>
      <c r="G186" t="s">
        <v>234</v>
      </c>
      <c r="H186" t="s">
        <v>14</v>
      </c>
      <c r="I186">
        <v>84568</v>
      </c>
      <c r="J186" t="s">
        <v>235</v>
      </c>
    </row>
    <row r="187" spans="1:10" hidden="1" x14ac:dyDescent="0.2">
      <c r="A187" t="s">
        <v>236</v>
      </c>
      <c r="B187" t="s">
        <v>211</v>
      </c>
      <c r="C187" t="s">
        <v>27</v>
      </c>
      <c r="D187" t="s">
        <v>171</v>
      </c>
      <c r="E187">
        <v>241227</v>
      </c>
      <c r="G187" t="s">
        <v>237</v>
      </c>
      <c r="H187" t="s">
        <v>14</v>
      </c>
      <c r="I187">
        <v>84356</v>
      </c>
      <c r="J187" t="s">
        <v>238</v>
      </c>
    </row>
    <row r="188" spans="1:10" hidden="1" x14ac:dyDescent="0.2">
      <c r="A188" t="s">
        <v>691</v>
      </c>
      <c r="B188" t="s">
        <v>622</v>
      </c>
      <c r="C188" t="s">
        <v>11</v>
      </c>
      <c r="D188" t="s">
        <v>692</v>
      </c>
      <c r="E188">
        <v>241227</v>
      </c>
      <c r="G188" t="s">
        <v>693</v>
      </c>
      <c r="H188" t="s">
        <v>14</v>
      </c>
      <c r="I188">
        <v>79112</v>
      </c>
      <c r="J188" t="s">
        <v>694</v>
      </c>
    </row>
    <row r="189" spans="1:10" hidden="1" x14ac:dyDescent="0.2">
      <c r="A189" t="s">
        <v>695</v>
      </c>
      <c r="B189" t="s">
        <v>622</v>
      </c>
      <c r="C189" t="s">
        <v>144</v>
      </c>
      <c r="D189" t="s">
        <v>692</v>
      </c>
      <c r="E189">
        <v>241227</v>
      </c>
      <c r="G189">
        <v>925</v>
      </c>
      <c r="H189" t="s">
        <v>14</v>
      </c>
      <c r="I189">
        <v>78948</v>
      </c>
      <c r="J189" t="s">
        <v>696</v>
      </c>
    </row>
    <row r="190" spans="1:10" hidden="1" x14ac:dyDescent="0.2">
      <c r="A190" t="s">
        <v>697</v>
      </c>
      <c r="B190" t="s">
        <v>622</v>
      </c>
      <c r="C190" t="s">
        <v>20</v>
      </c>
      <c r="D190" t="s">
        <v>692</v>
      </c>
      <c r="E190">
        <v>241227</v>
      </c>
      <c r="G190" t="s">
        <v>698</v>
      </c>
      <c r="H190" t="s">
        <v>14</v>
      </c>
      <c r="I190">
        <v>79112</v>
      </c>
      <c r="J190" t="s">
        <v>699</v>
      </c>
    </row>
    <row r="191" spans="1:10" hidden="1" x14ac:dyDescent="0.2">
      <c r="A191" t="s">
        <v>700</v>
      </c>
      <c r="B191" t="s">
        <v>622</v>
      </c>
      <c r="C191" t="s">
        <v>27</v>
      </c>
      <c r="D191" t="s">
        <v>692</v>
      </c>
      <c r="E191">
        <v>241227</v>
      </c>
      <c r="G191">
        <v>972</v>
      </c>
      <c r="H191" t="s">
        <v>14</v>
      </c>
      <c r="I191">
        <v>78948</v>
      </c>
      <c r="J191" t="s">
        <v>701</v>
      </c>
    </row>
    <row r="192" spans="1:10" hidden="1" x14ac:dyDescent="0.2">
      <c r="A192" t="s">
        <v>1117</v>
      </c>
      <c r="B192" t="s">
        <v>1095</v>
      </c>
      <c r="C192" t="s">
        <v>11</v>
      </c>
      <c r="D192" t="s">
        <v>163</v>
      </c>
      <c r="E192">
        <v>250102</v>
      </c>
      <c r="G192" t="s">
        <v>1118</v>
      </c>
      <c r="H192" t="s">
        <v>14</v>
      </c>
      <c r="I192">
        <v>67608</v>
      </c>
      <c r="J192" t="s">
        <v>1119</v>
      </c>
    </row>
    <row r="193" spans="1:10" ht="16.5" x14ac:dyDescent="0.2">
      <c r="A193" t="s">
        <v>1120</v>
      </c>
      <c r="B193" t="s">
        <v>1095</v>
      </c>
      <c r="C193" t="s">
        <v>11</v>
      </c>
      <c r="D193" t="s">
        <v>163</v>
      </c>
      <c r="E193">
        <v>250102</v>
      </c>
      <c r="F193" s="7">
        <f>DATE(2000+LEFT(E193,2), MID(E193,3,2), RIGHT(E193,2))</f>
        <v>45659</v>
      </c>
      <c r="G193" t="s">
        <v>1118</v>
      </c>
      <c r="H193" t="s">
        <v>6</v>
      </c>
      <c r="I193">
        <v>67608</v>
      </c>
      <c r="J193" t="s">
        <v>1121</v>
      </c>
    </row>
    <row r="194" spans="1:10" hidden="1" x14ac:dyDescent="0.2">
      <c r="A194" t="s">
        <v>152</v>
      </c>
      <c r="B194" t="s">
        <v>134</v>
      </c>
      <c r="C194" t="s">
        <v>11</v>
      </c>
      <c r="D194" t="s">
        <v>153</v>
      </c>
      <c r="E194">
        <v>250108</v>
      </c>
      <c r="G194" t="s">
        <v>154</v>
      </c>
      <c r="H194" t="s">
        <v>14</v>
      </c>
      <c r="I194">
        <v>83372</v>
      </c>
      <c r="J194" t="s">
        <v>155</v>
      </c>
    </row>
    <row r="195" spans="1:10" hidden="1" x14ac:dyDescent="0.2">
      <c r="A195" t="s">
        <v>156</v>
      </c>
      <c r="B195" t="s">
        <v>134</v>
      </c>
      <c r="C195" t="s">
        <v>20</v>
      </c>
      <c r="D195" t="s">
        <v>153</v>
      </c>
      <c r="E195">
        <v>250108</v>
      </c>
      <c r="G195" t="s">
        <v>157</v>
      </c>
      <c r="H195" t="s">
        <v>14</v>
      </c>
      <c r="I195">
        <v>83400</v>
      </c>
      <c r="J195" t="s">
        <v>158</v>
      </c>
    </row>
    <row r="196" spans="1:10" hidden="1" x14ac:dyDescent="0.2">
      <c r="A196" t="s">
        <v>159</v>
      </c>
      <c r="B196" t="s">
        <v>134</v>
      </c>
      <c r="C196" t="s">
        <v>27</v>
      </c>
      <c r="D196" t="s">
        <v>153</v>
      </c>
      <c r="E196">
        <v>250108</v>
      </c>
      <c r="G196" t="s">
        <v>160</v>
      </c>
      <c r="H196" t="s">
        <v>14</v>
      </c>
      <c r="I196">
        <v>83204</v>
      </c>
      <c r="J196" t="s">
        <v>161</v>
      </c>
    </row>
    <row r="197" spans="1:10" hidden="1" x14ac:dyDescent="0.2">
      <c r="A197" t="s">
        <v>210</v>
      </c>
      <c r="B197" t="s">
        <v>211</v>
      </c>
      <c r="C197" t="s">
        <v>11</v>
      </c>
      <c r="D197" t="s">
        <v>212</v>
      </c>
      <c r="E197">
        <v>250109</v>
      </c>
      <c r="G197">
        <v>3013</v>
      </c>
      <c r="H197" t="s">
        <v>14</v>
      </c>
      <c r="I197">
        <v>84712</v>
      </c>
      <c r="J197" t="s">
        <v>213</v>
      </c>
    </row>
    <row r="198" spans="1:10" hidden="1" x14ac:dyDescent="0.2">
      <c r="A198" t="s">
        <v>214</v>
      </c>
      <c r="B198" t="s">
        <v>211</v>
      </c>
      <c r="C198" t="s">
        <v>20</v>
      </c>
      <c r="D198" t="s">
        <v>212</v>
      </c>
      <c r="E198">
        <v>250109</v>
      </c>
      <c r="G198" t="s">
        <v>215</v>
      </c>
      <c r="H198" t="s">
        <v>14</v>
      </c>
      <c r="I198">
        <v>84748</v>
      </c>
      <c r="J198" t="s">
        <v>216</v>
      </c>
    </row>
    <row r="199" spans="1:10" hidden="1" x14ac:dyDescent="0.2">
      <c r="A199" t="s">
        <v>217</v>
      </c>
      <c r="B199" t="s">
        <v>211</v>
      </c>
      <c r="C199" t="s">
        <v>27</v>
      </c>
      <c r="D199" t="s">
        <v>212</v>
      </c>
      <c r="E199">
        <v>250109</v>
      </c>
      <c r="G199" t="s">
        <v>218</v>
      </c>
      <c r="H199" t="s">
        <v>14</v>
      </c>
      <c r="I199">
        <v>84548</v>
      </c>
      <c r="J199" t="s">
        <v>219</v>
      </c>
    </row>
    <row r="200" spans="1:10" ht="16.5" x14ac:dyDescent="0.2">
      <c r="A200" t="s">
        <v>239</v>
      </c>
      <c r="B200" t="s">
        <v>211</v>
      </c>
      <c r="C200" t="s">
        <v>11</v>
      </c>
      <c r="D200" t="s">
        <v>212</v>
      </c>
      <c r="E200">
        <v>250109</v>
      </c>
      <c r="F200" s="7">
        <f>DATE(2000+LEFT(E200,2), MID(E200,3,2), RIGHT(E200,2))</f>
        <v>45666</v>
      </c>
      <c r="G200">
        <v>3013</v>
      </c>
      <c r="H200" t="s">
        <v>6</v>
      </c>
      <c r="I200">
        <v>84712</v>
      </c>
      <c r="J200" t="s">
        <v>240</v>
      </c>
    </row>
    <row r="201" spans="1:10" ht="16.5" x14ac:dyDescent="0.2">
      <c r="A201" t="s">
        <v>241</v>
      </c>
      <c r="B201" t="s">
        <v>211</v>
      </c>
      <c r="C201" t="s">
        <v>20</v>
      </c>
      <c r="D201" t="s">
        <v>212</v>
      </c>
      <c r="E201">
        <v>250109</v>
      </c>
      <c r="F201" s="7">
        <f>DATE(2000+LEFT(E201,2), MID(E201,3,2), RIGHT(E201,2))</f>
        <v>45666</v>
      </c>
      <c r="G201" t="s">
        <v>215</v>
      </c>
      <c r="H201" t="s">
        <v>6</v>
      </c>
      <c r="I201">
        <v>84748</v>
      </c>
      <c r="J201" t="s">
        <v>242</v>
      </c>
    </row>
    <row r="202" spans="1:10" ht="16.5" x14ac:dyDescent="0.2">
      <c r="A202" t="s">
        <v>243</v>
      </c>
      <c r="B202" t="s">
        <v>211</v>
      </c>
      <c r="C202" t="s">
        <v>27</v>
      </c>
      <c r="D202" t="s">
        <v>212</v>
      </c>
      <c r="E202">
        <v>250109</v>
      </c>
      <c r="F202" s="7">
        <f>DATE(2000+LEFT(E202,2), MID(E202,3,2), RIGHT(E202,2))</f>
        <v>45666</v>
      </c>
      <c r="G202" t="s">
        <v>218</v>
      </c>
      <c r="H202" t="s">
        <v>6</v>
      </c>
      <c r="I202">
        <v>84548</v>
      </c>
      <c r="J202" t="s">
        <v>244</v>
      </c>
    </row>
    <row r="203" spans="1:10" hidden="1" x14ac:dyDescent="0.2">
      <c r="A203" t="s">
        <v>162</v>
      </c>
      <c r="B203" t="s">
        <v>134</v>
      </c>
      <c r="C203" t="s">
        <v>11</v>
      </c>
      <c r="D203" t="s">
        <v>163</v>
      </c>
      <c r="E203">
        <v>250114</v>
      </c>
      <c r="G203" t="s">
        <v>154</v>
      </c>
      <c r="H203" t="s">
        <v>14</v>
      </c>
      <c r="I203">
        <v>83372</v>
      </c>
      <c r="J203" t="s">
        <v>164</v>
      </c>
    </row>
    <row r="204" spans="1:10" hidden="1" x14ac:dyDescent="0.2">
      <c r="A204" t="s">
        <v>165</v>
      </c>
      <c r="B204" t="s">
        <v>134</v>
      </c>
      <c r="C204" t="s">
        <v>20</v>
      </c>
      <c r="D204" t="s">
        <v>163</v>
      </c>
      <c r="E204">
        <v>250114</v>
      </c>
      <c r="G204" t="s">
        <v>166</v>
      </c>
      <c r="H204" t="s">
        <v>14</v>
      </c>
      <c r="I204">
        <v>83400</v>
      </c>
      <c r="J204" t="s">
        <v>167</v>
      </c>
    </row>
    <row r="205" spans="1:10" hidden="1" x14ac:dyDescent="0.2">
      <c r="A205" t="s">
        <v>168</v>
      </c>
      <c r="B205" t="s">
        <v>134</v>
      </c>
      <c r="C205" t="s">
        <v>27</v>
      </c>
      <c r="D205" t="s">
        <v>163</v>
      </c>
      <c r="E205">
        <v>250114</v>
      </c>
      <c r="G205" t="s">
        <v>160</v>
      </c>
      <c r="H205" t="s">
        <v>14</v>
      </c>
      <c r="I205">
        <v>83204</v>
      </c>
      <c r="J205" t="s">
        <v>169</v>
      </c>
    </row>
    <row r="206" spans="1:10" hidden="1" x14ac:dyDescent="0.2">
      <c r="A206" t="s">
        <v>347</v>
      </c>
      <c r="B206" t="s">
        <v>309</v>
      </c>
      <c r="C206" t="s">
        <v>11</v>
      </c>
      <c r="D206" t="s">
        <v>171</v>
      </c>
      <c r="E206">
        <v>250115</v>
      </c>
      <c r="G206" t="s">
        <v>348</v>
      </c>
      <c r="H206" t="s">
        <v>14</v>
      </c>
      <c r="I206">
        <v>83152</v>
      </c>
      <c r="J206" t="s">
        <v>349</v>
      </c>
    </row>
    <row r="207" spans="1:10" hidden="1" x14ac:dyDescent="0.2">
      <c r="A207" t="s">
        <v>350</v>
      </c>
      <c r="B207" t="s">
        <v>309</v>
      </c>
      <c r="C207" t="s">
        <v>20</v>
      </c>
      <c r="D207" t="s">
        <v>171</v>
      </c>
      <c r="E207">
        <v>250115</v>
      </c>
      <c r="G207" t="s">
        <v>351</v>
      </c>
      <c r="H207" t="s">
        <v>14</v>
      </c>
      <c r="I207">
        <v>83108</v>
      </c>
      <c r="J207" t="s">
        <v>352</v>
      </c>
    </row>
    <row r="208" spans="1:10" hidden="1" x14ac:dyDescent="0.2">
      <c r="A208" t="s">
        <v>353</v>
      </c>
      <c r="B208" t="s">
        <v>309</v>
      </c>
      <c r="C208" t="s">
        <v>27</v>
      </c>
      <c r="D208" t="s">
        <v>171</v>
      </c>
      <c r="E208">
        <v>250115</v>
      </c>
      <c r="G208" t="s">
        <v>354</v>
      </c>
      <c r="H208" t="s">
        <v>14</v>
      </c>
      <c r="I208">
        <v>82900</v>
      </c>
      <c r="J208" t="s">
        <v>355</v>
      </c>
    </row>
    <row r="209" spans="1:10" ht="16.5" x14ac:dyDescent="0.2">
      <c r="A209" t="s">
        <v>366</v>
      </c>
      <c r="B209" t="s">
        <v>309</v>
      </c>
      <c r="C209" t="s">
        <v>11</v>
      </c>
      <c r="D209" t="s">
        <v>171</v>
      </c>
      <c r="E209">
        <v>250115</v>
      </c>
      <c r="F209" s="7">
        <f>DATE(2000+LEFT(E209,2), MID(E209,3,2), RIGHT(E209,2))</f>
        <v>45672</v>
      </c>
      <c r="G209" t="s">
        <v>348</v>
      </c>
      <c r="H209" t="s">
        <v>6</v>
      </c>
      <c r="I209">
        <v>83152</v>
      </c>
      <c r="J209" t="s">
        <v>367</v>
      </c>
    </row>
    <row r="210" spans="1:10" ht="16.5" x14ac:dyDescent="0.2">
      <c r="A210" t="s">
        <v>368</v>
      </c>
      <c r="B210" t="s">
        <v>309</v>
      </c>
      <c r="C210" t="s">
        <v>20</v>
      </c>
      <c r="D210" t="s">
        <v>171</v>
      </c>
      <c r="E210">
        <v>250115</v>
      </c>
      <c r="F210" s="7">
        <f>DATE(2000+LEFT(E210,2), MID(E210,3,2), RIGHT(E210,2))</f>
        <v>45672</v>
      </c>
      <c r="G210" t="s">
        <v>351</v>
      </c>
      <c r="H210" t="s">
        <v>6</v>
      </c>
      <c r="I210">
        <v>83108</v>
      </c>
      <c r="J210" t="s">
        <v>369</v>
      </c>
    </row>
    <row r="211" spans="1:10" ht="16.5" x14ac:dyDescent="0.2">
      <c r="A211" t="s">
        <v>370</v>
      </c>
      <c r="B211" t="s">
        <v>309</v>
      </c>
      <c r="C211" t="s">
        <v>27</v>
      </c>
      <c r="D211" t="s">
        <v>171</v>
      </c>
      <c r="E211">
        <v>250115</v>
      </c>
      <c r="F211" s="7">
        <f>DATE(2000+LEFT(E211,2), MID(E211,3,2), RIGHT(E211,2))</f>
        <v>45672</v>
      </c>
      <c r="G211" t="s">
        <v>354</v>
      </c>
      <c r="H211" t="s">
        <v>6</v>
      </c>
      <c r="I211">
        <v>82900</v>
      </c>
      <c r="J211" t="s">
        <v>371</v>
      </c>
    </row>
    <row r="212" spans="1:10" hidden="1" x14ac:dyDescent="0.2">
      <c r="A212" t="s">
        <v>1019</v>
      </c>
      <c r="B212" t="s">
        <v>991</v>
      </c>
      <c r="C212" t="s">
        <v>11</v>
      </c>
      <c r="D212" t="s">
        <v>1020</v>
      </c>
      <c r="E212">
        <v>250115</v>
      </c>
      <c r="G212" t="s">
        <v>1021</v>
      </c>
      <c r="H212" t="s">
        <v>14</v>
      </c>
      <c r="I212">
        <v>79596</v>
      </c>
      <c r="J212" t="s">
        <v>1022</v>
      </c>
    </row>
    <row r="213" spans="1:10" hidden="1" x14ac:dyDescent="0.2">
      <c r="A213" t="s">
        <v>1023</v>
      </c>
      <c r="B213" t="s">
        <v>991</v>
      </c>
      <c r="C213" t="s">
        <v>27</v>
      </c>
      <c r="D213" t="s">
        <v>1020</v>
      </c>
      <c r="E213">
        <v>250115</v>
      </c>
      <c r="G213" t="s">
        <v>1024</v>
      </c>
      <c r="H213" t="s">
        <v>14</v>
      </c>
      <c r="I213">
        <v>79332</v>
      </c>
      <c r="J213" t="s">
        <v>1025</v>
      </c>
    </row>
    <row r="214" spans="1:10" hidden="1" x14ac:dyDescent="0.2">
      <c r="A214" t="s">
        <v>1019</v>
      </c>
      <c r="B214" t="s">
        <v>991</v>
      </c>
      <c r="C214" t="s">
        <v>11</v>
      </c>
      <c r="D214" t="s">
        <v>1020</v>
      </c>
      <c r="E214">
        <v>250115</v>
      </c>
      <c r="G214" t="s">
        <v>1021</v>
      </c>
      <c r="H214" t="s">
        <v>14</v>
      </c>
      <c r="I214">
        <v>79596</v>
      </c>
      <c r="J214" t="s">
        <v>1200</v>
      </c>
    </row>
    <row r="215" spans="1:10" hidden="1" x14ac:dyDescent="0.2">
      <c r="A215" t="s">
        <v>1023</v>
      </c>
      <c r="B215" t="s">
        <v>991</v>
      </c>
      <c r="C215" t="s">
        <v>27</v>
      </c>
      <c r="D215" t="s">
        <v>1020</v>
      </c>
      <c r="E215">
        <v>250115</v>
      </c>
      <c r="G215" t="s">
        <v>1024</v>
      </c>
      <c r="H215" t="s">
        <v>14</v>
      </c>
      <c r="I215">
        <v>79332</v>
      </c>
      <c r="J215" t="s">
        <v>1201</v>
      </c>
    </row>
    <row r="216" spans="1:10" hidden="1" x14ac:dyDescent="0.2">
      <c r="A216" t="s">
        <v>702</v>
      </c>
      <c r="B216" t="s">
        <v>622</v>
      </c>
      <c r="C216" t="s">
        <v>11</v>
      </c>
      <c r="D216" t="s">
        <v>703</v>
      </c>
      <c r="E216">
        <v>250119</v>
      </c>
      <c r="G216">
        <v>4583</v>
      </c>
      <c r="H216" t="s">
        <v>14</v>
      </c>
      <c r="I216">
        <v>79188</v>
      </c>
      <c r="J216" t="s">
        <v>704</v>
      </c>
    </row>
    <row r="217" spans="1:10" hidden="1" x14ac:dyDescent="0.2">
      <c r="A217" t="s">
        <v>705</v>
      </c>
      <c r="B217" t="s">
        <v>622</v>
      </c>
      <c r="C217" t="s">
        <v>144</v>
      </c>
      <c r="D217" t="s">
        <v>703</v>
      </c>
      <c r="E217">
        <v>250119</v>
      </c>
      <c r="G217" t="s">
        <v>706</v>
      </c>
      <c r="H217" t="s">
        <v>14</v>
      </c>
      <c r="I217">
        <v>79028</v>
      </c>
      <c r="J217" t="s">
        <v>707</v>
      </c>
    </row>
    <row r="218" spans="1:10" hidden="1" x14ac:dyDescent="0.2">
      <c r="A218" t="s">
        <v>708</v>
      </c>
      <c r="B218" t="s">
        <v>622</v>
      </c>
      <c r="C218" t="s">
        <v>20</v>
      </c>
      <c r="D218" t="s">
        <v>703</v>
      </c>
      <c r="E218">
        <v>250119</v>
      </c>
      <c r="G218">
        <v>4653</v>
      </c>
      <c r="H218" t="s">
        <v>14</v>
      </c>
      <c r="I218">
        <v>79188</v>
      </c>
      <c r="J218" t="s">
        <v>709</v>
      </c>
    </row>
    <row r="219" spans="1:10" hidden="1" x14ac:dyDescent="0.2">
      <c r="A219" t="s">
        <v>710</v>
      </c>
      <c r="B219" t="s">
        <v>622</v>
      </c>
      <c r="C219" t="s">
        <v>27</v>
      </c>
      <c r="D219" t="s">
        <v>703</v>
      </c>
      <c r="E219">
        <v>250119</v>
      </c>
      <c r="G219" t="s">
        <v>711</v>
      </c>
      <c r="H219" t="s">
        <v>14</v>
      </c>
      <c r="I219">
        <v>79028</v>
      </c>
      <c r="J219" t="s">
        <v>712</v>
      </c>
    </row>
    <row r="220" spans="1:10" hidden="1" x14ac:dyDescent="0.2">
      <c r="A220" t="s">
        <v>1026</v>
      </c>
      <c r="B220" t="s">
        <v>991</v>
      </c>
      <c r="C220" t="s">
        <v>11</v>
      </c>
      <c r="D220" t="s">
        <v>1027</v>
      </c>
      <c r="E220">
        <v>250121</v>
      </c>
      <c r="G220" t="s">
        <v>1028</v>
      </c>
      <c r="H220" t="s">
        <v>14</v>
      </c>
      <c r="I220">
        <v>79584</v>
      </c>
      <c r="J220" t="s">
        <v>1029</v>
      </c>
    </row>
    <row r="221" spans="1:10" hidden="1" x14ac:dyDescent="0.2">
      <c r="A221" t="s">
        <v>1030</v>
      </c>
      <c r="B221" t="s">
        <v>991</v>
      </c>
      <c r="C221" t="s">
        <v>27</v>
      </c>
      <c r="D221" t="s">
        <v>1027</v>
      </c>
      <c r="E221">
        <v>250121</v>
      </c>
      <c r="G221" t="s">
        <v>1031</v>
      </c>
      <c r="H221" t="s">
        <v>14</v>
      </c>
      <c r="I221">
        <v>79320</v>
      </c>
      <c r="J221" t="s">
        <v>1032</v>
      </c>
    </row>
    <row r="222" spans="1:10" hidden="1" x14ac:dyDescent="0.2">
      <c r="A222" t="s">
        <v>1026</v>
      </c>
      <c r="B222" t="s">
        <v>991</v>
      </c>
      <c r="C222" t="s">
        <v>11</v>
      </c>
      <c r="D222" t="s">
        <v>1027</v>
      </c>
      <c r="E222">
        <v>250121</v>
      </c>
      <c r="G222" t="s">
        <v>1028</v>
      </c>
      <c r="H222" t="s">
        <v>14</v>
      </c>
      <c r="I222">
        <v>79584</v>
      </c>
      <c r="J222" t="s">
        <v>1202</v>
      </c>
    </row>
    <row r="223" spans="1:10" hidden="1" x14ac:dyDescent="0.2">
      <c r="A223" t="s">
        <v>1030</v>
      </c>
      <c r="B223" t="s">
        <v>991</v>
      </c>
      <c r="C223" t="s">
        <v>27</v>
      </c>
      <c r="D223" t="s">
        <v>1027</v>
      </c>
      <c r="E223">
        <v>250121</v>
      </c>
      <c r="G223" t="s">
        <v>1031</v>
      </c>
      <c r="H223" t="s">
        <v>14</v>
      </c>
      <c r="I223">
        <v>79320</v>
      </c>
      <c r="J223" t="s">
        <v>1203</v>
      </c>
    </row>
    <row r="224" spans="1:10" hidden="1" x14ac:dyDescent="0.2">
      <c r="A224" t="s">
        <v>1033</v>
      </c>
      <c r="B224" t="s">
        <v>991</v>
      </c>
      <c r="C224" t="s">
        <v>11</v>
      </c>
      <c r="D224" t="s">
        <v>1034</v>
      </c>
      <c r="E224">
        <v>250124</v>
      </c>
      <c r="G224" t="s">
        <v>1035</v>
      </c>
      <c r="H224" t="s">
        <v>14</v>
      </c>
      <c r="I224">
        <v>79752</v>
      </c>
      <c r="J224" t="s">
        <v>1036</v>
      </c>
    </row>
    <row r="225" spans="1:10" hidden="1" x14ac:dyDescent="0.2">
      <c r="A225" t="s">
        <v>1037</v>
      </c>
      <c r="B225" t="s">
        <v>991</v>
      </c>
      <c r="C225" t="s">
        <v>27</v>
      </c>
      <c r="D225" t="s">
        <v>1034</v>
      </c>
      <c r="E225">
        <v>250124</v>
      </c>
      <c r="G225">
        <v>9714</v>
      </c>
      <c r="H225" t="s">
        <v>14</v>
      </c>
      <c r="I225">
        <v>79488</v>
      </c>
      <c r="J225" t="s">
        <v>1038</v>
      </c>
    </row>
    <row r="226" spans="1:10" hidden="1" x14ac:dyDescent="0.2">
      <c r="A226" t="s">
        <v>1033</v>
      </c>
      <c r="B226" t="s">
        <v>991</v>
      </c>
      <c r="C226" t="s">
        <v>11</v>
      </c>
      <c r="D226" t="s">
        <v>1034</v>
      </c>
      <c r="E226">
        <v>250124</v>
      </c>
      <c r="G226" t="s">
        <v>1035</v>
      </c>
      <c r="H226" t="s">
        <v>14</v>
      </c>
      <c r="I226">
        <v>79752</v>
      </c>
      <c r="J226" t="s">
        <v>1204</v>
      </c>
    </row>
    <row r="227" spans="1:10" hidden="1" x14ac:dyDescent="0.2">
      <c r="A227" t="s">
        <v>1037</v>
      </c>
      <c r="B227" t="s">
        <v>991</v>
      </c>
      <c r="C227" t="s">
        <v>27</v>
      </c>
      <c r="D227" t="s">
        <v>1034</v>
      </c>
      <c r="E227">
        <v>250124</v>
      </c>
      <c r="G227">
        <v>9714</v>
      </c>
      <c r="H227" t="s">
        <v>14</v>
      </c>
      <c r="I227">
        <v>79488</v>
      </c>
      <c r="J227" t="s">
        <v>1205</v>
      </c>
    </row>
    <row r="228" spans="1:10" hidden="1" x14ac:dyDescent="0.2">
      <c r="A228" t="s">
        <v>960</v>
      </c>
      <c r="B228" t="s">
        <v>961</v>
      </c>
      <c r="C228" t="s">
        <v>962</v>
      </c>
      <c r="D228" t="s">
        <v>963</v>
      </c>
      <c r="E228">
        <v>250205</v>
      </c>
      <c r="G228" s="1" t="s">
        <v>964</v>
      </c>
      <c r="H228" t="s">
        <v>14</v>
      </c>
      <c r="I228">
        <v>81552</v>
      </c>
      <c r="J228" t="s">
        <v>965</v>
      </c>
    </row>
    <row r="229" spans="1:10" hidden="1" x14ac:dyDescent="0.2">
      <c r="A229" t="s">
        <v>170</v>
      </c>
      <c r="B229" t="s">
        <v>134</v>
      </c>
      <c r="C229" t="s">
        <v>11</v>
      </c>
      <c r="D229" t="s">
        <v>171</v>
      </c>
      <c r="E229">
        <v>250207</v>
      </c>
      <c r="G229" t="s">
        <v>172</v>
      </c>
      <c r="H229" t="s">
        <v>14</v>
      </c>
      <c r="I229">
        <v>83424</v>
      </c>
      <c r="J229" t="s">
        <v>173</v>
      </c>
    </row>
    <row r="230" spans="1:10" hidden="1" x14ac:dyDescent="0.2">
      <c r="A230" t="s">
        <v>174</v>
      </c>
      <c r="B230" t="s">
        <v>134</v>
      </c>
      <c r="C230" t="s">
        <v>20</v>
      </c>
      <c r="D230" t="s">
        <v>171</v>
      </c>
      <c r="E230">
        <v>250207</v>
      </c>
      <c r="G230" t="s">
        <v>175</v>
      </c>
      <c r="H230" t="s">
        <v>14</v>
      </c>
      <c r="I230">
        <v>83452</v>
      </c>
      <c r="J230" t="s">
        <v>176</v>
      </c>
    </row>
    <row r="231" spans="1:10" hidden="1" x14ac:dyDescent="0.2">
      <c r="A231" t="s">
        <v>177</v>
      </c>
      <c r="B231" t="s">
        <v>134</v>
      </c>
      <c r="C231" t="s">
        <v>27</v>
      </c>
      <c r="D231" t="s">
        <v>171</v>
      </c>
      <c r="E231">
        <v>250207</v>
      </c>
      <c r="G231" t="s">
        <v>178</v>
      </c>
      <c r="H231" t="s">
        <v>14</v>
      </c>
      <c r="I231">
        <v>83244</v>
      </c>
      <c r="J231" t="s">
        <v>179</v>
      </c>
    </row>
    <row r="232" spans="1:10" hidden="1" x14ac:dyDescent="0.2">
      <c r="A232" t="s">
        <v>1039</v>
      </c>
      <c r="B232" t="s">
        <v>991</v>
      </c>
      <c r="C232" t="s">
        <v>11</v>
      </c>
      <c r="D232" t="s">
        <v>1040</v>
      </c>
      <c r="E232">
        <v>250208</v>
      </c>
      <c r="G232" t="s">
        <v>1041</v>
      </c>
      <c r="H232" t="s">
        <v>14</v>
      </c>
      <c r="I232">
        <v>79836</v>
      </c>
      <c r="J232" t="s">
        <v>1042</v>
      </c>
    </row>
    <row r="233" spans="1:10" hidden="1" x14ac:dyDescent="0.2">
      <c r="A233" t="s">
        <v>1043</v>
      </c>
      <c r="B233" t="s">
        <v>991</v>
      </c>
      <c r="C233" t="s">
        <v>27</v>
      </c>
      <c r="D233" t="s">
        <v>1040</v>
      </c>
      <c r="E233">
        <v>250208</v>
      </c>
      <c r="G233" t="s">
        <v>1044</v>
      </c>
      <c r="H233" t="s">
        <v>14</v>
      </c>
      <c r="I233">
        <v>79572</v>
      </c>
      <c r="J233" t="s">
        <v>1045</v>
      </c>
    </row>
    <row r="234" spans="1:10" ht="16.5" x14ac:dyDescent="0.2">
      <c r="A234" t="s">
        <v>1062</v>
      </c>
      <c r="B234" t="s">
        <v>991</v>
      </c>
      <c r="C234" t="s">
        <v>11</v>
      </c>
      <c r="D234" t="s">
        <v>1040</v>
      </c>
      <c r="E234">
        <v>250208</v>
      </c>
      <c r="F234" s="7">
        <f>DATE(2000+LEFT(E234,2), MID(E234,3,2), RIGHT(E234,2))</f>
        <v>45696</v>
      </c>
      <c r="G234" t="s">
        <v>1041</v>
      </c>
      <c r="H234" t="s">
        <v>6</v>
      </c>
      <c r="I234">
        <v>79836</v>
      </c>
      <c r="J234" t="s">
        <v>1063</v>
      </c>
    </row>
    <row r="235" spans="1:10" ht="16.5" x14ac:dyDescent="0.2">
      <c r="A235" t="s">
        <v>1064</v>
      </c>
      <c r="B235" t="s">
        <v>991</v>
      </c>
      <c r="C235" t="s">
        <v>27</v>
      </c>
      <c r="D235" t="s">
        <v>1040</v>
      </c>
      <c r="E235">
        <v>250208</v>
      </c>
      <c r="F235" s="7">
        <f>DATE(2000+LEFT(E235,2), MID(E235,3,2), RIGHT(E235,2))</f>
        <v>45696</v>
      </c>
      <c r="G235" t="s">
        <v>1044</v>
      </c>
      <c r="H235" t="s">
        <v>6</v>
      </c>
      <c r="I235">
        <v>79572</v>
      </c>
      <c r="J235" t="s">
        <v>1065</v>
      </c>
    </row>
    <row r="236" spans="1:10" hidden="1" x14ac:dyDescent="0.2">
      <c r="A236" t="s">
        <v>1039</v>
      </c>
      <c r="B236" t="s">
        <v>991</v>
      </c>
      <c r="C236" t="s">
        <v>11</v>
      </c>
      <c r="D236" t="s">
        <v>1040</v>
      </c>
      <c r="E236">
        <v>250208</v>
      </c>
      <c r="G236" t="s">
        <v>1041</v>
      </c>
      <c r="H236" t="s">
        <v>14</v>
      </c>
      <c r="I236">
        <v>79836</v>
      </c>
      <c r="J236" t="s">
        <v>1206</v>
      </c>
    </row>
    <row r="237" spans="1:10" hidden="1" x14ac:dyDescent="0.2">
      <c r="A237" t="s">
        <v>1043</v>
      </c>
      <c r="B237" t="s">
        <v>991</v>
      </c>
      <c r="C237" t="s">
        <v>27</v>
      </c>
      <c r="D237" t="s">
        <v>1040</v>
      </c>
      <c r="E237">
        <v>250208</v>
      </c>
      <c r="G237" t="s">
        <v>1044</v>
      </c>
      <c r="H237" t="s">
        <v>14</v>
      </c>
      <c r="I237">
        <v>79572</v>
      </c>
      <c r="J237" t="s">
        <v>1207</v>
      </c>
    </row>
    <row r="238" spans="1:10" ht="16.5" x14ac:dyDescent="0.2">
      <c r="A238" t="s">
        <v>1062</v>
      </c>
      <c r="B238" t="s">
        <v>991</v>
      </c>
      <c r="C238" t="s">
        <v>11</v>
      </c>
      <c r="D238" t="s">
        <v>1040</v>
      </c>
      <c r="E238">
        <v>250208</v>
      </c>
      <c r="F238" s="7">
        <f>DATE(2000+LEFT(E238,2), MID(E238,3,2), RIGHT(E238,2))</f>
        <v>45696</v>
      </c>
      <c r="G238" t="s">
        <v>1041</v>
      </c>
      <c r="H238" t="s">
        <v>6</v>
      </c>
      <c r="I238">
        <v>79836</v>
      </c>
      <c r="J238" t="s">
        <v>1214</v>
      </c>
    </row>
    <row r="239" spans="1:10" ht="16.5" x14ac:dyDescent="0.2">
      <c r="A239" t="s">
        <v>1064</v>
      </c>
      <c r="B239" t="s">
        <v>991</v>
      </c>
      <c r="C239" t="s">
        <v>27</v>
      </c>
      <c r="D239" t="s">
        <v>1040</v>
      </c>
      <c r="E239">
        <v>250208</v>
      </c>
      <c r="F239" s="7">
        <f>DATE(2000+LEFT(E239,2), MID(E239,3,2), RIGHT(E239,2))</f>
        <v>45696</v>
      </c>
      <c r="G239" t="s">
        <v>1044</v>
      </c>
      <c r="H239" t="s">
        <v>6</v>
      </c>
      <c r="I239">
        <v>79572</v>
      </c>
      <c r="J239" t="s">
        <v>1215</v>
      </c>
    </row>
    <row r="240" spans="1:10" hidden="1" x14ac:dyDescent="0.2">
      <c r="A240" t="s">
        <v>713</v>
      </c>
      <c r="B240" t="s">
        <v>622</v>
      </c>
      <c r="C240" t="s">
        <v>11</v>
      </c>
      <c r="D240" t="s">
        <v>703</v>
      </c>
      <c r="E240">
        <v>250218</v>
      </c>
      <c r="G240" t="s">
        <v>714</v>
      </c>
      <c r="H240" t="s">
        <v>14</v>
      </c>
      <c r="I240">
        <v>79096</v>
      </c>
      <c r="J240" t="s">
        <v>715</v>
      </c>
    </row>
    <row r="241" spans="1:10" hidden="1" x14ac:dyDescent="0.2">
      <c r="A241" t="s">
        <v>716</v>
      </c>
      <c r="B241" t="s">
        <v>622</v>
      </c>
      <c r="C241" t="s">
        <v>144</v>
      </c>
      <c r="D241" t="s">
        <v>703</v>
      </c>
      <c r="E241">
        <v>250218</v>
      </c>
      <c r="G241" t="s">
        <v>717</v>
      </c>
      <c r="H241" t="s">
        <v>14</v>
      </c>
      <c r="I241">
        <v>78928</v>
      </c>
      <c r="J241" t="s">
        <v>718</v>
      </c>
    </row>
    <row r="242" spans="1:10" hidden="1" x14ac:dyDescent="0.2">
      <c r="A242" t="s">
        <v>719</v>
      </c>
      <c r="B242" t="s">
        <v>622</v>
      </c>
      <c r="C242" t="s">
        <v>20</v>
      </c>
      <c r="D242" t="s">
        <v>703</v>
      </c>
      <c r="E242">
        <v>250218</v>
      </c>
      <c r="G242">
        <v>3194</v>
      </c>
      <c r="H242" t="s">
        <v>14</v>
      </c>
      <c r="I242">
        <v>79092</v>
      </c>
      <c r="J242" t="s">
        <v>720</v>
      </c>
    </row>
    <row r="243" spans="1:10" hidden="1" x14ac:dyDescent="0.2">
      <c r="A243" t="s">
        <v>721</v>
      </c>
      <c r="B243" t="s">
        <v>622</v>
      </c>
      <c r="C243" t="s">
        <v>27</v>
      </c>
      <c r="D243" t="s">
        <v>703</v>
      </c>
      <c r="E243">
        <v>250218</v>
      </c>
      <c r="G243" t="s">
        <v>722</v>
      </c>
      <c r="H243" t="s">
        <v>14</v>
      </c>
      <c r="I243">
        <v>78928</v>
      </c>
      <c r="J243" t="s">
        <v>723</v>
      </c>
    </row>
    <row r="244" spans="1:10" ht="16.5" x14ac:dyDescent="0.2">
      <c r="A244" t="s">
        <v>753</v>
      </c>
      <c r="B244" t="s">
        <v>622</v>
      </c>
      <c r="C244" t="s">
        <v>11</v>
      </c>
      <c r="D244" t="s">
        <v>703</v>
      </c>
      <c r="E244">
        <v>250218</v>
      </c>
      <c r="F244" s="7">
        <f>DATE(2000+LEFT(E244,2), MID(E244,3,2), RIGHT(E244,2))</f>
        <v>45706</v>
      </c>
      <c r="G244" t="s">
        <v>714</v>
      </c>
      <c r="H244" t="s">
        <v>6</v>
      </c>
      <c r="I244">
        <v>79096</v>
      </c>
      <c r="J244" t="s">
        <v>754</v>
      </c>
    </row>
    <row r="245" spans="1:10" ht="16.5" x14ac:dyDescent="0.2">
      <c r="A245" t="s">
        <v>755</v>
      </c>
      <c r="B245" t="s">
        <v>622</v>
      </c>
      <c r="C245" t="s">
        <v>144</v>
      </c>
      <c r="D245" t="s">
        <v>703</v>
      </c>
      <c r="E245">
        <v>250218</v>
      </c>
      <c r="F245" s="7">
        <f>DATE(2000+LEFT(E245,2), MID(E245,3,2), RIGHT(E245,2))</f>
        <v>45706</v>
      </c>
      <c r="G245" t="s">
        <v>717</v>
      </c>
      <c r="H245" t="s">
        <v>6</v>
      </c>
      <c r="I245">
        <v>78928</v>
      </c>
      <c r="J245" t="s">
        <v>756</v>
      </c>
    </row>
    <row r="246" spans="1:10" ht="16.5" x14ac:dyDescent="0.2">
      <c r="A246" t="s">
        <v>757</v>
      </c>
      <c r="B246" t="s">
        <v>622</v>
      </c>
      <c r="C246" t="s">
        <v>20</v>
      </c>
      <c r="D246" t="s">
        <v>703</v>
      </c>
      <c r="E246">
        <v>250218</v>
      </c>
      <c r="F246" s="7">
        <f>DATE(2000+LEFT(E246,2), MID(E246,3,2), RIGHT(E246,2))</f>
        <v>45706</v>
      </c>
      <c r="G246">
        <v>3194</v>
      </c>
      <c r="H246" t="s">
        <v>6</v>
      </c>
      <c r="I246">
        <v>79092</v>
      </c>
      <c r="J246" t="s">
        <v>758</v>
      </c>
    </row>
    <row r="247" spans="1:10" ht="16.5" x14ac:dyDescent="0.2">
      <c r="A247" t="s">
        <v>759</v>
      </c>
      <c r="B247" t="s">
        <v>622</v>
      </c>
      <c r="C247" t="s">
        <v>27</v>
      </c>
      <c r="D247" t="s">
        <v>703</v>
      </c>
      <c r="E247">
        <v>250218</v>
      </c>
      <c r="F247" s="7">
        <f>DATE(2000+LEFT(E247,2), MID(E247,3,2), RIGHT(E247,2))</f>
        <v>45706</v>
      </c>
      <c r="G247" t="s">
        <v>722</v>
      </c>
      <c r="H247" t="s">
        <v>6</v>
      </c>
      <c r="I247">
        <v>78928</v>
      </c>
      <c r="J247" t="s">
        <v>760</v>
      </c>
    </row>
    <row r="248" spans="1:10" hidden="1" x14ac:dyDescent="0.2">
      <c r="A248" t="s">
        <v>541</v>
      </c>
      <c r="B248" t="s">
        <v>533</v>
      </c>
      <c r="C248" t="s">
        <v>11</v>
      </c>
      <c r="D248" t="s">
        <v>338</v>
      </c>
      <c r="E248">
        <v>250221</v>
      </c>
      <c r="G248">
        <v>4431</v>
      </c>
      <c r="H248" t="s">
        <v>14</v>
      </c>
      <c r="I248">
        <v>85956</v>
      </c>
      <c r="J248" t="s">
        <v>542</v>
      </c>
    </row>
    <row r="249" spans="1:10" hidden="1" x14ac:dyDescent="0.2">
      <c r="A249" t="s">
        <v>543</v>
      </c>
      <c r="B249" t="s">
        <v>533</v>
      </c>
      <c r="C249" t="s">
        <v>20</v>
      </c>
      <c r="D249" t="s">
        <v>338</v>
      </c>
      <c r="E249">
        <v>250221</v>
      </c>
      <c r="G249">
        <v>4434</v>
      </c>
      <c r="H249" t="s">
        <v>14</v>
      </c>
      <c r="I249">
        <v>85956</v>
      </c>
      <c r="J249" t="s">
        <v>544</v>
      </c>
    </row>
    <row r="250" spans="1:10" hidden="1" x14ac:dyDescent="0.2">
      <c r="A250" t="s">
        <v>545</v>
      </c>
      <c r="B250" t="s">
        <v>533</v>
      </c>
      <c r="C250" t="s">
        <v>27</v>
      </c>
      <c r="D250" t="s">
        <v>338</v>
      </c>
      <c r="E250">
        <v>250221</v>
      </c>
      <c r="G250" t="s">
        <v>546</v>
      </c>
      <c r="H250" t="s">
        <v>14</v>
      </c>
      <c r="I250">
        <v>85792</v>
      </c>
      <c r="J250" t="s">
        <v>547</v>
      </c>
    </row>
    <row r="251" spans="1:10" hidden="1" x14ac:dyDescent="0.2">
      <c r="A251" t="s">
        <v>133</v>
      </c>
      <c r="B251" t="s">
        <v>134</v>
      </c>
      <c r="C251" t="s">
        <v>11</v>
      </c>
      <c r="D251" t="s">
        <v>135</v>
      </c>
      <c r="E251">
        <v>250228</v>
      </c>
      <c r="G251" t="s">
        <v>136</v>
      </c>
      <c r="H251" t="s">
        <v>14</v>
      </c>
      <c r="I251">
        <v>83360</v>
      </c>
      <c r="J251" t="s">
        <v>137</v>
      </c>
    </row>
    <row r="252" spans="1:10" hidden="1" x14ac:dyDescent="0.2">
      <c r="A252" t="s">
        <v>138</v>
      </c>
      <c r="B252" t="s">
        <v>134</v>
      </c>
      <c r="C252" t="s">
        <v>20</v>
      </c>
      <c r="D252" t="s">
        <v>135</v>
      </c>
      <c r="E252">
        <v>250228</v>
      </c>
      <c r="G252">
        <v>9714</v>
      </c>
      <c r="H252" t="s">
        <v>14</v>
      </c>
      <c r="I252">
        <v>83392</v>
      </c>
      <c r="J252" t="s">
        <v>139</v>
      </c>
    </row>
    <row r="253" spans="1:10" hidden="1" x14ac:dyDescent="0.2">
      <c r="A253" t="s">
        <v>140</v>
      </c>
      <c r="B253" t="s">
        <v>134</v>
      </c>
      <c r="C253" t="s">
        <v>27</v>
      </c>
      <c r="D253" t="s">
        <v>135</v>
      </c>
      <c r="E253">
        <v>250228</v>
      </c>
      <c r="G253" t="s">
        <v>141</v>
      </c>
      <c r="H253" t="s">
        <v>14</v>
      </c>
      <c r="I253">
        <v>83196</v>
      </c>
      <c r="J253" t="s">
        <v>142</v>
      </c>
    </row>
    <row r="254" spans="1:10" hidden="1" x14ac:dyDescent="0.2">
      <c r="A254" t="s">
        <v>532</v>
      </c>
      <c r="B254" t="s">
        <v>533</v>
      </c>
      <c r="C254" t="s">
        <v>11</v>
      </c>
      <c r="D254" t="s">
        <v>135</v>
      </c>
      <c r="E254">
        <v>250304</v>
      </c>
      <c r="G254" t="s">
        <v>534</v>
      </c>
      <c r="H254" t="s">
        <v>14</v>
      </c>
      <c r="I254">
        <v>87988</v>
      </c>
      <c r="J254" t="s">
        <v>535</v>
      </c>
    </row>
    <row r="255" spans="1:10" hidden="1" x14ac:dyDescent="0.2">
      <c r="A255" t="s">
        <v>536</v>
      </c>
      <c r="B255" t="s">
        <v>533</v>
      </c>
      <c r="C255" t="s">
        <v>20</v>
      </c>
      <c r="D255" t="s">
        <v>135</v>
      </c>
      <c r="E255">
        <v>250304</v>
      </c>
      <c r="G255" t="s">
        <v>537</v>
      </c>
      <c r="H255" t="s">
        <v>14</v>
      </c>
      <c r="I255">
        <v>87988</v>
      </c>
      <c r="J255" t="s">
        <v>538</v>
      </c>
    </row>
    <row r="256" spans="1:10" hidden="1" x14ac:dyDescent="0.2">
      <c r="A256" t="s">
        <v>539</v>
      </c>
      <c r="B256" t="s">
        <v>533</v>
      </c>
      <c r="C256" t="s">
        <v>27</v>
      </c>
      <c r="D256" t="s">
        <v>135</v>
      </c>
      <c r="E256">
        <v>250304</v>
      </c>
      <c r="G256">
        <v>4834</v>
      </c>
      <c r="H256" t="s">
        <v>14</v>
      </c>
      <c r="I256">
        <v>87828</v>
      </c>
      <c r="J256" t="s">
        <v>540</v>
      </c>
    </row>
    <row r="257" spans="1:10" hidden="1" x14ac:dyDescent="0.2">
      <c r="A257" t="s">
        <v>180</v>
      </c>
      <c r="B257" t="s">
        <v>1566</v>
      </c>
      <c r="C257" t="s">
        <v>11</v>
      </c>
      <c r="D257" t="s">
        <v>181</v>
      </c>
      <c r="E257">
        <v>250311</v>
      </c>
      <c r="G257" t="s">
        <v>182</v>
      </c>
      <c r="H257" t="s">
        <v>14</v>
      </c>
      <c r="I257">
        <v>83452</v>
      </c>
      <c r="J257" t="s">
        <v>183</v>
      </c>
    </row>
    <row r="258" spans="1:10" hidden="1" x14ac:dyDescent="0.2">
      <c r="A258" t="s">
        <v>184</v>
      </c>
      <c r="B258" t="s">
        <v>1566</v>
      </c>
      <c r="C258" t="s">
        <v>20</v>
      </c>
      <c r="D258" t="s">
        <v>181</v>
      </c>
      <c r="E258">
        <v>250311</v>
      </c>
      <c r="G258" t="s">
        <v>185</v>
      </c>
      <c r="H258" t="s">
        <v>14</v>
      </c>
      <c r="I258">
        <v>83488</v>
      </c>
      <c r="J258" t="s">
        <v>186</v>
      </c>
    </row>
    <row r="259" spans="1:10" hidden="1" x14ac:dyDescent="0.2">
      <c r="A259" t="s">
        <v>187</v>
      </c>
      <c r="B259" t="s">
        <v>1566</v>
      </c>
      <c r="C259" t="s">
        <v>27</v>
      </c>
      <c r="D259" t="s">
        <v>181</v>
      </c>
      <c r="E259">
        <v>250311</v>
      </c>
      <c r="G259" t="s">
        <v>188</v>
      </c>
      <c r="H259" t="s">
        <v>14</v>
      </c>
      <c r="I259">
        <v>83276</v>
      </c>
      <c r="J259" t="s">
        <v>189</v>
      </c>
    </row>
    <row r="260" spans="1:10" hidden="1" x14ac:dyDescent="0.2">
      <c r="A260" t="s">
        <v>724</v>
      </c>
      <c r="B260" t="s">
        <v>622</v>
      </c>
      <c r="C260" t="s">
        <v>11</v>
      </c>
      <c r="D260" t="s">
        <v>725</v>
      </c>
      <c r="E260">
        <v>250312</v>
      </c>
      <c r="G260" t="s">
        <v>726</v>
      </c>
      <c r="H260" t="s">
        <v>14</v>
      </c>
      <c r="I260">
        <v>78780</v>
      </c>
      <c r="J260" t="s">
        <v>727</v>
      </c>
    </row>
    <row r="261" spans="1:10" hidden="1" x14ac:dyDescent="0.2">
      <c r="A261" t="s">
        <v>728</v>
      </c>
      <c r="B261" t="s">
        <v>622</v>
      </c>
      <c r="C261" t="s">
        <v>144</v>
      </c>
      <c r="D261" t="s">
        <v>725</v>
      </c>
      <c r="E261">
        <v>250312</v>
      </c>
      <c r="G261" t="s">
        <v>729</v>
      </c>
      <c r="H261" t="s">
        <v>14</v>
      </c>
      <c r="I261">
        <v>78616</v>
      </c>
      <c r="J261" t="s">
        <v>730</v>
      </c>
    </row>
    <row r="262" spans="1:10" hidden="1" x14ac:dyDescent="0.2">
      <c r="A262" t="s">
        <v>731</v>
      </c>
      <c r="B262" t="s">
        <v>622</v>
      </c>
      <c r="C262" t="s">
        <v>20</v>
      </c>
      <c r="D262" t="s">
        <v>725</v>
      </c>
      <c r="E262">
        <v>250312</v>
      </c>
      <c r="G262" t="s">
        <v>732</v>
      </c>
      <c r="H262" t="s">
        <v>14</v>
      </c>
      <c r="I262">
        <v>78780</v>
      </c>
      <c r="J262" t="s">
        <v>733</v>
      </c>
    </row>
    <row r="263" spans="1:10" hidden="1" x14ac:dyDescent="0.2">
      <c r="A263" t="s">
        <v>734</v>
      </c>
      <c r="B263" t="s">
        <v>622</v>
      </c>
      <c r="C263" t="s">
        <v>27</v>
      </c>
      <c r="D263" t="s">
        <v>725</v>
      </c>
      <c r="E263">
        <v>250312</v>
      </c>
      <c r="G263" t="s">
        <v>735</v>
      </c>
      <c r="H263" t="s">
        <v>14</v>
      </c>
      <c r="I263">
        <v>78616</v>
      </c>
      <c r="J263" t="s">
        <v>736</v>
      </c>
    </row>
    <row r="264" spans="1:10" hidden="1" x14ac:dyDescent="0.2">
      <c r="A264" t="s">
        <v>190</v>
      </c>
      <c r="B264" t="s">
        <v>1566</v>
      </c>
      <c r="C264" t="s">
        <v>11</v>
      </c>
      <c r="D264" t="s">
        <v>191</v>
      </c>
      <c r="E264">
        <v>250313</v>
      </c>
      <c r="G264" t="s">
        <v>192</v>
      </c>
      <c r="H264" t="s">
        <v>14</v>
      </c>
      <c r="I264">
        <v>83640</v>
      </c>
      <c r="J264" t="s">
        <v>193</v>
      </c>
    </row>
    <row r="265" spans="1:10" hidden="1" x14ac:dyDescent="0.2">
      <c r="A265" t="s">
        <v>194</v>
      </c>
      <c r="B265" t="s">
        <v>1566</v>
      </c>
      <c r="C265" t="s">
        <v>20</v>
      </c>
      <c r="D265" t="s">
        <v>191</v>
      </c>
      <c r="E265">
        <v>250313</v>
      </c>
      <c r="G265" t="s">
        <v>195</v>
      </c>
      <c r="H265" t="s">
        <v>14</v>
      </c>
      <c r="I265">
        <v>83676</v>
      </c>
      <c r="J265" t="s">
        <v>196</v>
      </c>
    </row>
    <row r="266" spans="1:10" hidden="1" x14ac:dyDescent="0.2">
      <c r="A266" t="s">
        <v>197</v>
      </c>
      <c r="B266" t="s">
        <v>1566</v>
      </c>
      <c r="C266" t="s">
        <v>27</v>
      </c>
      <c r="D266" t="s">
        <v>191</v>
      </c>
      <c r="E266">
        <v>250313</v>
      </c>
      <c r="G266">
        <v>8996</v>
      </c>
      <c r="H266" t="s">
        <v>14</v>
      </c>
      <c r="I266">
        <v>83468</v>
      </c>
      <c r="J266" t="s">
        <v>198</v>
      </c>
    </row>
    <row r="267" spans="1:10" ht="16.5" x14ac:dyDescent="0.2">
      <c r="A267" t="s">
        <v>761</v>
      </c>
      <c r="B267" t="s">
        <v>622</v>
      </c>
      <c r="C267" t="s">
        <v>11</v>
      </c>
      <c r="D267" t="s">
        <v>725</v>
      </c>
      <c r="E267">
        <v>250314</v>
      </c>
      <c r="F267" s="7">
        <f>DATE(2000+LEFT(E267,2), MID(E267,3,2), RIGHT(E267,2))</f>
        <v>45730</v>
      </c>
      <c r="G267" t="s">
        <v>762</v>
      </c>
      <c r="H267" t="s">
        <v>6</v>
      </c>
      <c r="I267">
        <v>78584</v>
      </c>
      <c r="J267" t="s">
        <v>763</v>
      </c>
    </row>
    <row r="268" spans="1:10" ht="16.5" x14ac:dyDescent="0.2">
      <c r="A268" t="s">
        <v>764</v>
      </c>
      <c r="B268" t="s">
        <v>622</v>
      </c>
      <c r="C268" t="s">
        <v>144</v>
      </c>
      <c r="D268" t="s">
        <v>725</v>
      </c>
      <c r="E268">
        <v>250314</v>
      </c>
      <c r="F268" s="7">
        <f>DATE(2000+LEFT(E268,2), MID(E268,3,2), RIGHT(E268,2))</f>
        <v>45730</v>
      </c>
      <c r="G268" t="s">
        <v>765</v>
      </c>
      <c r="H268" t="s">
        <v>6</v>
      </c>
      <c r="I268">
        <v>78424</v>
      </c>
      <c r="J268" t="s">
        <v>766</v>
      </c>
    </row>
    <row r="269" spans="1:10" ht="16.5" x14ac:dyDescent="0.2">
      <c r="A269" t="s">
        <v>767</v>
      </c>
      <c r="B269" t="s">
        <v>622</v>
      </c>
      <c r="C269" t="s">
        <v>20</v>
      </c>
      <c r="D269" t="s">
        <v>725</v>
      </c>
      <c r="E269">
        <v>250314</v>
      </c>
      <c r="F269" s="7">
        <f>DATE(2000+LEFT(E269,2), MID(E269,3,2), RIGHT(E269,2))</f>
        <v>45730</v>
      </c>
      <c r="G269" t="s">
        <v>768</v>
      </c>
      <c r="H269" t="s">
        <v>6</v>
      </c>
      <c r="I269">
        <v>78584</v>
      </c>
      <c r="J269" t="s">
        <v>769</v>
      </c>
    </row>
    <row r="270" spans="1:10" ht="16.5" x14ac:dyDescent="0.2">
      <c r="A270" t="s">
        <v>770</v>
      </c>
      <c r="B270" t="s">
        <v>622</v>
      </c>
      <c r="C270" t="s">
        <v>27</v>
      </c>
      <c r="D270" t="s">
        <v>725</v>
      </c>
      <c r="E270">
        <v>250314</v>
      </c>
      <c r="F270" s="7">
        <f>DATE(2000+LEFT(E270,2), MID(E270,3,2), RIGHT(E270,2))</f>
        <v>45730</v>
      </c>
      <c r="G270" t="s">
        <v>771</v>
      </c>
      <c r="H270" t="s">
        <v>6</v>
      </c>
      <c r="I270">
        <v>78424</v>
      </c>
      <c r="J270" t="s">
        <v>772</v>
      </c>
    </row>
    <row r="271" spans="1:10" hidden="1" x14ac:dyDescent="0.2">
      <c r="A271" t="s">
        <v>123</v>
      </c>
      <c r="B271" t="s">
        <v>1566</v>
      </c>
      <c r="C271" t="s">
        <v>11</v>
      </c>
      <c r="D271" t="s">
        <v>124</v>
      </c>
      <c r="E271">
        <v>250318</v>
      </c>
      <c r="G271" t="s">
        <v>125</v>
      </c>
      <c r="H271" t="s">
        <v>14</v>
      </c>
      <c r="I271">
        <v>83640</v>
      </c>
      <c r="J271" t="s">
        <v>126</v>
      </c>
    </row>
    <row r="272" spans="1:10" hidden="1" x14ac:dyDescent="0.2">
      <c r="A272" t="s">
        <v>127</v>
      </c>
      <c r="B272" t="s">
        <v>1566</v>
      </c>
      <c r="C272" t="s">
        <v>20</v>
      </c>
      <c r="D272" t="s">
        <v>124</v>
      </c>
      <c r="E272">
        <v>250318</v>
      </c>
      <c r="G272" t="s">
        <v>128</v>
      </c>
      <c r="H272" t="s">
        <v>14</v>
      </c>
      <c r="I272">
        <v>83676</v>
      </c>
      <c r="J272" t="s">
        <v>129</v>
      </c>
    </row>
    <row r="273" spans="1:10" hidden="1" x14ac:dyDescent="0.2">
      <c r="A273" t="s">
        <v>130</v>
      </c>
      <c r="B273" t="s">
        <v>1566</v>
      </c>
      <c r="C273" t="s">
        <v>27</v>
      </c>
      <c r="D273" t="s">
        <v>124</v>
      </c>
      <c r="E273">
        <v>250318</v>
      </c>
      <c r="G273" t="s">
        <v>131</v>
      </c>
      <c r="H273" t="s">
        <v>14</v>
      </c>
      <c r="I273">
        <v>83468</v>
      </c>
      <c r="J273" t="s">
        <v>132</v>
      </c>
    </row>
    <row r="274" spans="1:10" ht="16.5" x14ac:dyDescent="0.2">
      <c r="A274" t="s">
        <v>199</v>
      </c>
      <c r="B274" t="s">
        <v>1566</v>
      </c>
      <c r="C274" t="s">
        <v>11</v>
      </c>
      <c r="D274" t="s">
        <v>124</v>
      </c>
      <c r="E274">
        <v>250318</v>
      </c>
      <c r="F274" s="7">
        <f>DATE(2000+LEFT(E274,2), MID(E274,3,2), RIGHT(E274,2))</f>
        <v>45734</v>
      </c>
      <c r="G274" t="s">
        <v>125</v>
      </c>
      <c r="H274" t="s">
        <v>6</v>
      </c>
      <c r="I274">
        <v>83640</v>
      </c>
      <c r="J274" t="s">
        <v>200</v>
      </c>
    </row>
    <row r="275" spans="1:10" ht="16.5" x14ac:dyDescent="0.2">
      <c r="A275" t="s">
        <v>201</v>
      </c>
      <c r="B275" t="s">
        <v>1566</v>
      </c>
      <c r="C275" t="s">
        <v>20</v>
      </c>
      <c r="D275" t="s">
        <v>124</v>
      </c>
      <c r="E275">
        <v>250318</v>
      </c>
      <c r="F275" s="7">
        <f>DATE(2000+LEFT(E275,2), MID(E275,3,2), RIGHT(E275,2))</f>
        <v>45734</v>
      </c>
      <c r="G275" t="s">
        <v>128</v>
      </c>
      <c r="H275" t="s">
        <v>6</v>
      </c>
      <c r="I275">
        <v>83676</v>
      </c>
      <c r="J275" t="s">
        <v>202</v>
      </c>
    </row>
    <row r="276" spans="1:10" ht="16.5" x14ac:dyDescent="0.2">
      <c r="A276" t="s">
        <v>203</v>
      </c>
      <c r="B276" t="s">
        <v>1566</v>
      </c>
      <c r="C276" t="s">
        <v>27</v>
      </c>
      <c r="D276" t="s">
        <v>124</v>
      </c>
      <c r="E276">
        <v>250318</v>
      </c>
      <c r="F276" s="7">
        <f>DATE(2000+LEFT(E276,2), MID(E276,3,2), RIGHT(E276,2))</f>
        <v>45734</v>
      </c>
      <c r="G276" t="s">
        <v>131</v>
      </c>
      <c r="H276" t="s">
        <v>6</v>
      </c>
      <c r="I276">
        <v>83468</v>
      </c>
      <c r="J276" t="s">
        <v>204</v>
      </c>
    </row>
    <row r="277" spans="1:10" hidden="1" x14ac:dyDescent="0.2">
      <c r="A277" t="s">
        <v>33</v>
      </c>
      <c r="B277" t="s">
        <v>10</v>
      </c>
      <c r="C277" t="s">
        <v>11</v>
      </c>
      <c r="D277" t="s">
        <v>34</v>
      </c>
      <c r="E277">
        <v>250409</v>
      </c>
      <c r="G277" t="s">
        <v>35</v>
      </c>
      <c r="H277" t="s">
        <v>14</v>
      </c>
      <c r="I277">
        <v>69392</v>
      </c>
      <c r="J277" t="s">
        <v>36</v>
      </c>
    </row>
    <row r="278" spans="1:10" hidden="1" x14ac:dyDescent="0.2">
      <c r="A278" t="s">
        <v>37</v>
      </c>
      <c r="B278" t="s">
        <v>10</v>
      </c>
      <c r="C278" t="s">
        <v>20</v>
      </c>
      <c r="D278" t="s">
        <v>34</v>
      </c>
      <c r="E278">
        <v>250409</v>
      </c>
      <c r="G278" t="s">
        <v>38</v>
      </c>
      <c r="H278" t="s">
        <v>14</v>
      </c>
      <c r="I278">
        <v>69392</v>
      </c>
      <c r="J278" t="s">
        <v>39</v>
      </c>
    </row>
    <row r="279" spans="1:10" hidden="1" x14ac:dyDescent="0.2">
      <c r="A279" t="s">
        <v>40</v>
      </c>
      <c r="B279" t="s">
        <v>10</v>
      </c>
      <c r="C279" t="s">
        <v>27</v>
      </c>
      <c r="D279" t="s">
        <v>34</v>
      </c>
      <c r="E279">
        <v>250409</v>
      </c>
      <c r="G279" t="s">
        <v>41</v>
      </c>
      <c r="H279" t="s">
        <v>14</v>
      </c>
      <c r="I279">
        <v>69392</v>
      </c>
      <c r="J279" t="s">
        <v>42</v>
      </c>
    </row>
    <row r="280" spans="1:10" hidden="1" x14ac:dyDescent="0.2">
      <c r="A280" t="s">
        <v>1408</v>
      </c>
      <c r="B280" t="s">
        <v>1409</v>
      </c>
      <c r="C280" t="s">
        <v>11</v>
      </c>
      <c r="D280" t="s">
        <v>558</v>
      </c>
      <c r="E280">
        <v>250415</v>
      </c>
      <c r="G280" t="s">
        <v>1410</v>
      </c>
      <c r="H280" t="s">
        <v>14</v>
      </c>
      <c r="I280">
        <v>65960</v>
      </c>
      <c r="J280" t="s">
        <v>1411</v>
      </c>
    </row>
    <row r="281" spans="1:10" hidden="1" x14ac:dyDescent="0.2">
      <c r="A281" t="s">
        <v>1412</v>
      </c>
      <c r="B281" t="s">
        <v>1409</v>
      </c>
      <c r="C281" t="s">
        <v>20</v>
      </c>
      <c r="D281" t="s">
        <v>558</v>
      </c>
      <c r="E281">
        <v>250415</v>
      </c>
      <c r="G281" t="s">
        <v>1413</v>
      </c>
      <c r="H281" t="s">
        <v>14</v>
      </c>
      <c r="I281">
        <v>65896</v>
      </c>
      <c r="J281" t="s">
        <v>1414</v>
      </c>
    </row>
    <row r="282" spans="1:10" hidden="1" x14ac:dyDescent="0.2">
      <c r="A282" t="s">
        <v>1415</v>
      </c>
      <c r="B282" t="s">
        <v>1409</v>
      </c>
      <c r="C282" t="s">
        <v>27</v>
      </c>
      <c r="D282" t="s">
        <v>558</v>
      </c>
      <c r="E282">
        <v>250415</v>
      </c>
      <c r="G282" t="s">
        <v>1416</v>
      </c>
      <c r="H282" t="s">
        <v>14</v>
      </c>
      <c r="I282">
        <v>65696</v>
      </c>
      <c r="J282" t="s">
        <v>1417</v>
      </c>
    </row>
    <row r="283" spans="1:10" hidden="1" x14ac:dyDescent="0.2">
      <c r="A283" t="s">
        <v>456</v>
      </c>
      <c r="B283" t="s">
        <v>449</v>
      </c>
      <c r="C283" t="s">
        <v>11</v>
      </c>
      <c r="D283" t="s">
        <v>457</v>
      </c>
      <c r="E283">
        <v>250416</v>
      </c>
      <c r="G283" t="s">
        <v>458</v>
      </c>
      <c r="H283" t="s">
        <v>14</v>
      </c>
      <c r="I283">
        <v>88116</v>
      </c>
      <c r="J283" t="s">
        <v>459</v>
      </c>
    </row>
    <row r="284" spans="1:10" hidden="1" x14ac:dyDescent="0.2">
      <c r="A284" t="s">
        <v>460</v>
      </c>
      <c r="B284" t="s">
        <v>449</v>
      </c>
      <c r="C284" t="s">
        <v>20</v>
      </c>
      <c r="D284" t="s">
        <v>457</v>
      </c>
      <c r="E284">
        <v>250416</v>
      </c>
      <c r="G284" t="s">
        <v>461</v>
      </c>
      <c r="H284" t="s">
        <v>14</v>
      </c>
      <c r="I284">
        <v>88056</v>
      </c>
      <c r="J284" t="s">
        <v>462</v>
      </c>
    </row>
    <row r="285" spans="1:10" hidden="1" x14ac:dyDescent="0.2">
      <c r="A285" t="s">
        <v>463</v>
      </c>
      <c r="B285" t="s">
        <v>449</v>
      </c>
      <c r="C285" t="s">
        <v>27</v>
      </c>
      <c r="D285" t="s">
        <v>457</v>
      </c>
      <c r="E285">
        <v>250416</v>
      </c>
      <c r="G285" t="s">
        <v>464</v>
      </c>
      <c r="H285" t="s">
        <v>14</v>
      </c>
      <c r="I285">
        <v>87848</v>
      </c>
      <c r="J285" t="s">
        <v>465</v>
      </c>
    </row>
    <row r="286" spans="1:10" hidden="1" x14ac:dyDescent="0.2">
      <c r="A286" t="s">
        <v>372</v>
      </c>
      <c r="B286" t="s">
        <v>373</v>
      </c>
      <c r="C286" t="s">
        <v>11</v>
      </c>
      <c r="D286" t="s">
        <v>374</v>
      </c>
      <c r="E286">
        <v>250417</v>
      </c>
      <c r="G286" t="s">
        <v>375</v>
      </c>
      <c r="H286" t="s">
        <v>14</v>
      </c>
      <c r="I286">
        <v>87916</v>
      </c>
      <c r="J286" t="s">
        <v>376</v>
      </c>
    </row>
    <row r="287" spans="1:10" hidden="1" x14ac:dyDescent="0.2">
      <c r="A287" t="s">
        <v>377</v>
      </c>
      <c r="B287" t="s">
        <v>373</v>
      </c>
      <c r="C287" t="s">
        <v>11</v>
      </c>
      <c r="D287" t="s">
        <v>374</v>
      </c>
      <c r="E287">
        <v>250417</v>
      </c>
      <c r="G287" t="s">
        <v>378</v>
      </c>
      <c r="H287" t="s">
        <v>14</v>
      </c>
      <c r="I287">
        <v>87940</v>
      </c>
      <c r="J287" t="s">
        <v>379</v>
      </c>
    </row>
    <row r="288" spans="1:10" hidden="1" x14ac:dyDescent="0.2">
      <c r="A288" t="s">
        <v>380</v>
      </c>
      <c r="B288" t="s">
        <v>373</v>
      </c>
      <c r="C288" t="s">
        <v>20</v>
      </c>
      <c r="D288" t="s">
        <v>374</v>
      </c>
      <c r="E288">
        <v>250417</v>
      </c>
      <c r="G288" t="s">
        <v>381</v>
      </c>
      <c r="H288" t="s">
        <v>14</v>
      </c>
      <c r="I288">
        <v>87916</v>
      </c>
      <c r="J288" t="s">
        <v>382</v>
      </c>
    </row>
    <row r="289" spans="1:10" hidden="1" x14ac:dyDescent="0.2">
      <c r="A289" t="s">
        <v>383</v>
      </c>
      <c r="B289" t="s">
        <v>373</v>
      </c>
      <c r="C289" t="s">
        <v>20</v>
      </c>
      <c r="D289" t="s">
        <v>374</v>
      </c>
      <c r="E289">
        <v>250417</v>
      </c>
      <c r="G289" t="s">
        <v>384</v>
      </c>
      <c r="H289" t="s">
        <v>14</v>
      </c>
      <c r="I289">
        <v>87940</v>
      </c>
      <c r="J289" t="s">
        <v>385</v>
      </c>
    </row>
    <row r="290" spans="1:10" hidden="1" x14ac:dyDescent="0.2">
      <c r="A290" t="s">
        <v>386</v>
      </c>
      <c r="B290" t="s">
        <v>373</v>
      </c>
      <c r="C290" t="s">
        <v>27</v>
      </c>
      <c r="D290" t="s">
        <v>374</v>
      </c>
      <c r="E290">
        <v>250417</v>
      </c>
      <c r="G290" t="s">
        <v>387</v>
      </c>
      <c r="H290" t="s">
        <v>14</v>
      </c>
      <c r="I290">
        <v>87916</v>
      </c>
      <c r="J290" t="s">
        <v>388</v>
      </c>
    </row>
    <row r="291" spans="1:10" hidden="1" x14ac:dyDescent="0.2">
      <c r="A291" t="s">
        <v>389</v>
      </c>
      <c r="B291" t="s">
        <v>373</v>
      </c>
      <c r="C291" t="s">
        <v>27</v>
      </c>
      <c r="D291" t="s">
        <v>374</v>
      </c>
      <c r="E291">
        <v>250417</v>
      </c>
      <c r="G291" t="s">
        <v>390</v>
      </c>
      <c r="H291" t="s">
        <v>14</v>
      </c>
      <c r="I291">
        <v>87940</v>
      </c>
      <c r="J291" t="s">
        <v>391</v>
      </c>
    </row>
    <row r="292" spans="1:10" hidden="1" x14ac:dyDescent="0.2">
      <c r="A292" t="s">
        <v>43</v>
      </c>
      <c r="B292" t="s">
        <v>10</v>
      </c>
      <c r="C292" t="s">
        <v>11</v>
      </c>
      <c r="D292" t="s">
        <v>44</v>
      </c>
      <c r="E292">
        <v>250418</v>
      </c>
      <c r="G292" t="s">
        <v>45</v>
      </c>
      <c r="H292" t="s">
        <v>14</v>
      </c>
      <c r="I292">
        <v>68816</v>
      </c>
      <c r="J292" t="s">
        <v>46</v>
      </c>
    </row>
    <row r="293" spans="1:10" hidden="1" x14ac:dyDescent="0.2">
      <c r="A293" t="s">
        <v>47</v>
      </c>
      <c r="B293" t="s">
        <v>10</v>
      </c>
      <c r="C293" t="s">
        <v>20</v>
      </c>
      <c r="D293" t="s">
        <v>44</v>
      </c>
      <c r="E293">
        <v>250418</v>
      </c>
      <c r="G293" t="s">
        <v>48</v>
      </c>
      <c r="H293" t="s">
        <v>14</v>
      </c>
      <c r="I293">
        <v>68816</v>
      </c>
      <c r="J293" t="s">
        <v>49</v>
      </c>
    </row>
    <row r="294" spans="1:10" hidden="1" x14ac:dyDescent="0.2">
      <c r="A294" t="s">
        <v>50</v>
      </c>
      <c r="B294" t="s">
        <v>10</v>
      </c>
      <c r="C294" t="s">
        <v>27</v>
      </c>
      <c r="D294" t="s">
        <v>44</v>
      </c>
      <c r="E294">
        <v>250418</v>
      </c>
      <c r="G294" t="s">
        <v>51</v>
      </c>
      <c r="H294" t="s">
        <v>14</v>
      </c>
      <c r="I294">
        <v>68812</v>
      </c>
      <c r="J294" t="s">
        <v>52</v>
      </c>
    </row>
    <row r="295" spans="1:10" hidden="1" x14ac:dyDescent="0.2">
      <c r="A295" t="s">
        <v>966</v>
      </c>
      <c r="B295" t="s">
        <v>961</v>
      </c>
      <c r="C295" t="s">
        <v>11</v>
      </c>
      <c r="D295" t="s">
        <v>967</v>
      </c>
      <c r="E295">
        <v>250418</v>
      </c>
      <c r="G295" t="s">
        <v>968</v>
      </c>
      <c r="H295" t="s">
        <v>14</v>
      </c>
      <c r="I295">
        <v>87876</v>
      </c>
      <c r="J295" t="s">
        <v>969</v>
      </c>
    </row>
    <row r="296" spans="1:10" hidden="1" x14ac:dyDescent="0.2">
      <c r="A296" t="s">
        <v>970</v>
      </c>
      <c r="B296" t="s">
        <v>961</v>
      </c>
      <c r="C296" t="s">
        <v>20</v>
      </c>
      <c r="D296" t="s">
        <v>967</v>
      </c>
      <c r="E296">
        <v>250418</v>
      </c>
      <c r="G296" t="s">
        <v>971</v>
      </c>
      <c r="H296" t="s">
        <v>14</v>
      </c>
      <c r="I296">
        <v>87876</v>
      </c>
      <c r="J296" t="s">
        <v>972</v>
      </c>
    </row>
    <row r="297" spans="1:10" hidden="1" x14ac:dyDescent="0.2">
      <c r="A297" t="s">
        <v>973</v>
      </c>
      <c r="B297" t="s">
        <v>961</v>
      </c>
      <c r="C297" t="s">
        <v>27</v>
      </c>
      <c r="D297" t="s">
        <v>967</v>
      </c>
      <c r="E297">
        <v>250418</v>
      </c>
      <c r="G297" t="s">
        <v>974</v>
      </c>
      <c r="H297" t="s">
        <v>14</v>
      </c>
      <c r="I297">
        <v>87876</v>
      </c>
      <c r="J297" t="s">
        <v>975</v>
      </c>
    </row>
    <row r="298" spans="1:10" hidden="1" x14ac:dyDescent="0.2">
      <c r="A298" t="s">
        <v>801</v>
      </c>
      <c r="B298" t="s">
        <v>1561</v>
      </c>
      <c r="C298" t="s">
        <v>11</v>
      </c>
      <c r="D298" t="s">
        <v>153</v>
      </c>
      <c r="E298">
        <v>250424</v>
      </c>
      <c r="G298" t="s">
        <v>802</v>
      </c>
      <c r="H298" t="s">
        <v>14</v>
      </c>
      <c r="I298">
        <v>93024</v>
      </c>
      <c r="J298" t="s">
        <v>803</v>
      </c>
    </row>
    <row r="299" spans="1:10" hidden="1" x14ac:dyDescent="0.2">
      <c r="A299" t="s">
        <v>804</v>
      </c>
      <c r="B299" t="s">
        <v>1561</v>
      </c>
      <c r="C299" t="s">
        <v>20</v>
      </c>
      <c r="D299" t="s">
        <v>153</v>
      </c>
      <c r="E299">
        <v>250424</v>
      </c>
      <c r="G299" t="s">
        <v>805</v>
      </c>
      <c r="H299" t="s">
        <v>14</v>
      </c>
      <c r="I299">
        <v>93024</v>
      </c>
      <c r="J299" t="s">
        <v>806</v>
      </c>
    </row>
    <row r="300" spans="1:10" hidden="1" x14ac:dyDescent="0.2">
      <c r="A300" t="s">
        <v>807</v>
      </c>
      <c r="B300" t="s">
        <v>1561</v>
      </c>
      <c r="C300" t="s">
        <v>27</v>
      </c>
      <c r="D300" t="s">
        <v>153</v>
      </c>
      <c r="E300">
        <v>250424</v>
      </c>
      <c r="G300" t="s">
        <v>808</v>
      </c>
      <c r="H300" t="s">
        <v>14</v>
      </c>
      <c r="I300">
        <v>92860</v>
      </c>
      <c r="J300" t="s">
        <v>809</v>
      </c>
    </row>
    <row r="301" spans="1:10" hidden="1" x14ac:dyDescent="0.2">
      <c r="A301" t="s">
        <v>1418</v>
      </c>
      <c r="B301" t="s">
        <v>1409</v>
      </c>
      <c r="C301" t="s">
        <v>11</v>
      </c>
      <c r="D301" t="s">
        <v>558</v>
      </c>
      <c r="E301">
        <v>250427</v>
      </c>
      <c r="G301" t="s">
        <v>1419</v>
      </c>
      <c r="H301" t="s">
        <v>14</v>
      </c>
      <c r="I301">
        <v>72408</v>
      </c>
      <c r="J301" t="s">
        <v>1420</v>
      </c>
    </row>
    <row r="302" spans="1:10" hidden="1" x14ac:dyDescent="0.2">
      <c r="A302" t="s">
        <v>1421</v>
      </c>
      <c r="B302" t="s">
        <v>1409</v>
      </c>
      <c r="C302" t="s">
        <v>1422</v>
      </c>
      <c r="D302" t="s">
        <v>558</v>
      </c>
      <c r="E302">
        <v>250427</v>
      </c>
      <c r="G302" t="s">
        <v>1423</v>
      </c>
      <c r="H302" t="s">
        <v>14</v>
      </c>
      <c r="I302">
        <v>72348</v>
      </c>
      <c r="J302" t="s">
        <v>1424</v>
      </c>
    </row>
    <row r="303" spans="1:10" hidden="1" x14ac:dyDescent="0.2">
      <c r="A303" t="s">
        <v>1425</v>
      </c>
      <c r="B303" t="s">
        <v>1409</v>
      </c>
      <c r="C303" t="s">
        <v>27</v>
      </c>
      <c r="D303" t="s">
        <v>558</v>
      </c>
      <c r="E303">
        <v>250427</v>
      </c>
      <c r="G303" t="s">
        <v>1426</v>
      </c>
      <c r="H303" t="s">
        <v>14</v>
      </c>
      <c r="I303">
        <v>72148</v>
      </c>
      <c r="J303" t="s">
        <v>1427</v>
      </c>
    </row>
    <row r="304" spans="1:10" hidden="1" x14ac:dyDescent="0.2">
      <c r="A304" t="s">
        <v>784</v>
      </c>
      <c r="B304" t="s">
        <v>1561</v>
      </c>
      <c r="C304" t="s">
        <v>11</v>
      </c>
      <c r="D304" t="s">
        <v>124</v>
      </c>
      <c r="E304">
        <v>250428</v>
      </c>
      <c r="G304">
        <v>6901</v>
      </c>
      <c r="H304" t="s">
        <v>14</v>
      </c>
      <c r="I304">
        <v>86344</v>
      </c>
      <c r="J304" t="s">
        <v>785</v>
      </c>
    </row>
    <row r="305" spans="1:10" hidden="1" x14ac:dyDescent="0.2">
      <c r="A305" t="s">
        <v>786</v>
      </c>
      <c r="B305" t="s">
        <v>1561</v>
      </c>
      <c r="C305" t="s">
        <v>20</v>
      </c>
      <c r="D305" t="s">
        <v>124</v>
      </c>
      <c r="E305">
        <v>250428</v>
      </c>
      <c r="G305" t="s">
        <v>787</v>
      </c>
      <c r="H305" t="s">
        <v>14</v>
      </c>
      <c r="I305">
        <v>86344</v>
      </c>
      <c r="J305" t="s">
        <v>788</v>
      </c>
    </row>
    <row r="306" spans="1:10" hidden="1" x14ac:dyDescent="0.2">
      <c r="A306" t="s">
        <v>789</v>
      </c>
      <c r="B306" t="s">
        <v>1561</v>
      </c>
      <c r="C306" t="s">
        <v>27</v>
      </c>
      <c r="D306" t="s">
        <v>124</v>
      </c>
      <c r="E306">
        <v>250428</v>
      </c>
      <c r="G306" t="s">
        <v>790</v>
      </c>
      <c r="H306" t="s">
        <v>14</v>
      </c>
      <c r="I306">
        <v>86172</v>
      </c>
      <c r="J306" t="s">
        <v>791</v>
      </c>
    </row>
    <row r="307" spans="1:10" hidden="1" x14ac:dyDescent="0.2">
      <c r="A307" t="s">
        <v>1428</v>
      </c>
      <c r="B307" t="s">
        <v>1409</v>
      </c>
      <c r="C307" t="s">
        <v>11</v>
      </c>
      <c r="D307" t="s">
        <v>558</v>
      </c>
      <c r="E307">
        <v>250428</v>
      </c>
      <c r="G307" t="s">
        <v>1429</v>
      </c>
      <c r="H307" t="s">
        <v>14</v>
      </c>
      <c r="I307">
        <v>72416</v>
      </c>
      <c r="J307" t="s">
        <v>1430</v>
      </c>
    </row>
    <row r="308" spans="1:10" hidden="1" x14ac:dyDescent="0.2">
      <c r="A308" t="s">
        <v>1431</v>
      </c>
      <c r="B308" t="s">
        <v>1409</v>
      </c>
      <c r="C308" t="s">
        <v>1422</v>
      </c>
      <c r="D308" t="s">
        <v>558</v>
      </c>
      <c r="E308">
        <v>250428</v>
      </c>
      <c r="G308" t="s">
        <v>1432</v>
      </c>
      <c r="H308" t="s">
        <v>14</v>
      </c>
      <c r="I308">
        <v>72356</v>
      </c>
      <c r="J308" t="s">
        <v>1433</v>
      </c>
    </row>
    <row r="309" spans="1:10" hidden="1" x14ac:dyDescent="0.2">
      <c r="A309" t="s">
        <v>1434</v>
      </c>
      <c r="B309" t="s">
        <v>1409</v>
      </c>
      <c r="C309" t="s">
        <v>27</v>
      </c>
      <c r="D309" t="s">
        <v>558</v>
      </c>
      <c r="E309">
        <v>250428</v>
      </c>
      <c r="G309" t="s">
        <v>1435</v>
      </c>
      <c r="H309" t="s">
        <v>14</v>
      </c>
      <c r="I309">
        <v>72160</v>
      </c>
      <c r="J309" t="s">
        <v>1436</v>
      </c>
    </row>
    <row r="310" spans="1:10" hidden="1" x14ac:dyDescent="0.2">
      <c r="A310" t="s">
        <v>53</v>
      </c>
      <c r="B310" t="s">
        <v>10</v>
      </c>
      <c r="C310" t="s">
        <v>11</v>
      </c>
      <c r="D310" t="s">
        <v>54</v>
      </c>
      <c r="E310">
        <v>250429</v>
      </c>
      <c r="G310" t="s">
        <v>55</v>
      </c>
      <c r="H310" t="s">
        <v>14</v>
      </c>
      <c r="I310">
        <v>65656</v>
      </c>
      <c r="J310" t="s">
        <v>56</v>
      </c>
    </row>
    <row r="311" spans="1:10" hidden="1" x14ac:dyDescent="0.2">
      <c r="A311" t="s">
        <v>57</v>
      </c>
      <c r="B311" t="s">
        <v>10</v>
      </c>
      <c r="C311" t="s">
        <v>20</v>
      </c>
      <c r="D311" t="s">
        <v>54</v>
      </c>
      <c r="E311">
        <v>250429</v>
      </c>
      <c r="G311" t="s">
        <v>58</v>
      </c>
      <c r="H311" t="s">
        <v>14</v>
      </c>
      <c r="I311">
        <v>65656</v>
      </c>
      <c r="J311" t="s">
        <v>59</v>
      </c>
    </row>
    <row r="312" spans="1:10" hidden="1" x14ac:dyDescent="0.2">
      <c r="A312" t="s">
        <v>60</v>
      </c>
      <c r="B312" t="s">
        <v>10</v>
      </c>
      <c r="C312" t="s">
        <v>27</v>
      </c>
      <c r="D312" t="s">
        <v>54</v>
      </c>
      <c r="E312">
        <v>250429</v>
      </c>
      <c r="G312" t="s">
        <v>61</v>
      </c>
      <c r="H312" t="s">
        <v>14</v>
      </c>
      <c r="I312">
        <v>65652</v>
      </c>
      <c r="J312" t="s">
        <v>62</v>
      </c>
    </row>
    <row r="313" spans="1:10" ht="16.5" x14ac:dyDescent="0.2">
      <c r="A313" t="s">
        <v>97</v>
      </c>
      <c r="B313" t="s">
        <v>10</v>
      </c>
      <c r="C313" t="s">
        <v>11</v>
      </c>
      <c r="D313" t="s">
        <v>54</v>
      </c>
      <c r="E313">
        <v>250429</v>
      </c>
      <c r="F313" s="7">
        <f>DATE(2000+LEFT(E313,2), MID(E313,3,2), RIGHT(E313,2))</f>
        <v>45776</v>
      </c>
      <c r="G313" t="s">
        <v>55</v>
      </c>
      <c r="H313" t="s">
        <v>6</v>
      </c>
      <c r="I313">
        <v>65656</v>
      </c>
      <c r="J313" t="s">
        <v>98</v>
      </c>
    </row>
    <row r="314" spans="1:10" ht="16.5" x14ac:dyDescent="0.2">
      <c r="A314" t="s">
        <v>99</v>
      </c>
      <c r="B314" t="s">
        <v>10</v>
      </c>
      <c r="C314" t="s">
        <v>20</v>
      </c>
      <c r="D314" t="s">
        <v>54</v>
      </c>
      <c r="E314">
        <v>250429</v>
      </c>
      <c r="F314" s="7">
        <f>DATE(2000+LEFT(E314,2), MID(E314,3,2), RIGHT(E314,2))</f>
        <v>45776</v>
      </c>
      <c r="G314" t="s">
        <v>58</v>
      </c>
      <c r="H314" t="s">
        <v>6</v>
      </c>
      <c r="I314">
        <v>65656</v>
      </c>
      <c r="J314" t="s">
        <v>100</v>
      </c>
    </row>
    <row r="315" spans="1:10" ht="16.5" x14ac:dyDescent="0.2">
      <c r="A315" t="s">
        <v>101</v>
      </c>
      <c r="B315" t="s">
        <v>10</v>
      </c>
      <c r="C315" t="s">
        <v>27</v>
      </c>
      <c r="D315" t="s">
        <v>54</v>
      </c>
      <c r="E315">
        <v>250429</v>
      </c>
      <c r="F315" s="7">
        <f>DATE(2000+LEFT(E315,2), MID(E315,3,2), RIGHT(E315,2))</f>
        <v>45776</v>
      </c>
      <c r="G315" t="s">
        <v>61</v>
      </c>
      <c r="H315" t="s">
        <v>6</v>
      </c>
      <c r="I315">
        <v>65652</v>
      </c>
      <c r="J315" t="s">
        <v>102</v>
      </c>
    </row>
    <row r="316" spans="1:10" hidden="1" x14ac:dyDescent="0.2">
      <c r="A316" t="s">
        <v>392</v>
      </c>
      <c r="B316" t="s">
        <v>373</v>
      </c>
      <c r="C316" t="s">
        <v>11</v>
      </c>
      <c r="D316" t="s">
        <v>393</v>
      </c>
      <c r="E316">
        <v>250430</v>
      </c>
      <c r="G316" t="s">
        <v>394</v>
      </c>
      <c r="H316" t="s">
        <v>14</v>
      </c>
      <c r="I316">
        <v>85076</v>
      </c>
      <c r="J316" t="s">
        <v>395</v>
      </c>
    </row>
    <row r="317" spans="1:10" hidden="1" x14ac:dyDescent="0.2">
      <c r="A317" t="s">
        <v>396</v>
      </c>
      <c r="B317" t="s">
        <v>373</v>
      </c>
      <c r="C317" t="s">
        <v>11</v>
      </c>
      <c r="D317" t="s">
        <v>393</v>
      </c>
      <c r="E317">
        <v>250430</v>
      </c>
      <c r="G317" t="s">
        <v>397</v>
      </c>
      <c r="H317" t="s">
        <v>14</v>
      </c>
      <c r="I317">
        <v>85104</v>
      </c>
      <c r="J317" t="s">
        <v>398</v>
      </c>
    </row>
    <row r="318" spans="1:10" hidden="1" x14ac:dyDescent="0.2">
      <c r="A318" t="s">
        <v>399</v>
      </c>
      <c r="B318" t="s">
        <v>373</v>
      </c>
      <c r="C318" t="s">
        <v>20</v>
      </c>
      <c r="D318" t="s">
        <v>393</v>
      </c>
      <c r="E318">
        <v>250430</v>
      </c>
      <c r="G318" t="s">
        <v>400</v>
      </c>
      <c r="H318" t="s">
        <v>14</v>
      </c>
      <c r="I318">
        <v>85076</v>
      </c>
      <c r="J318" t="s">
        <v>401</v>
      </c>
    </row>
    <row r="319" spans="1:10" hidden="1" x14ac:dyDescent="0.2">
      <c r="A319" t="s">
        <v>402</v>
      </c>
      <c r="B319" t="s">
        <v>373</v>
      </c>
      <c r="C319" t="s">
        <v>20</v>
      </c>
      <c r="D319" t="s">
        <v>393</v>
      </c>
      <c r="E319">
        <v>250430</v>
      </c>
      <c r="G319">
        <v>2528</v>
      </c>
      <c r="H319" t="s">
        <v>14</v>
      </c>
      <c r="I319">
        <v>85104</v>
      </c>
      <c r="J319" t="s">
        <v>403</v>
      </c>
    </row>
    <row r="320" spans="1:10" hidden="1" x14ac:dyDescent="0.2">
      <c r="A320" t="s">
        <v>404</v>
      </c>
      <c r="B320" t="s">
        <v>373</v>
      </c>
      <c r="C320" t="s">
        <v>27</v>
      </c>
      <c r="D320" t="s">
        <v>393</v>
      </c>
      <c r="E320">
        <v>250430</v>
      </c>
      <c r="G320">
        <v>1598</v>
      </c>
      <c r="H320" t="s">
        <v>14</v>
      </c>
      <c r="I320">
        <v>85076</v>
      </c>
      <c r="J320" t="s">
        <v>405</v>
      </c>
    </row>
    <row r="321" spans="1:10" hidden="1" x14ac:dyDescent="0.2">
      <c r="A321" t="s">
        <v>406</v>
      </c>
      <c r="B321" t="s">
        <v>373</v>
      </c>
      <c r="C321" t="s">
        <v>27</v>
      </c>
      <c r="D321" t="s">
        <v>393</v>
      </c>
      <c r="E321">
        <v>250430</v>
      </c>
      <c r="G321" t="s">
        <v>407</v>
      </c>
      <c r="H321" t="s">
        <v>14</v>
      </c>
      <c r="I321">
        <v>85104</v>
      </c>
      <c r="J321" t="s">
        <v>408</v>
      </c>
    </row>
    <row r="322" spans="1:10" hidden="1" x14ac:dyDescent="0.2">
      <c r="A322" t="s">
        <v>466</v>
      </c>
      <c r="B322" t="s">
        <v>449</v>
      </c>
      <c r="C322" t="s">
        <v>11</v>
      </c>
      <c r="D322" t="s">
        <v>467</v>
      </c>
      <c r="E322">
        <v>250430</v>
      </c>
      <c r="G322" t="s">
        <v>468</v>
      </c>
      <c r="H322" t="s">
        <v>14</v>
      </c>
      <c r="I322">
        <v>84952</v>
      </c>
      <c r="J322" t="s">
        <v>469</v>
      </c>
    </row>
    <row r="323" spans="1:10" hidden="1" x14ac:dyDescent="0.2">
      <c r="A323" t="s">
        <v>470</v>
      </c>
      <c r="B323" t="s">
        <v>449</v>
      </c>
      <c r="C323" t="s">
        <v>20</v>
      </c>
      <c r="D323" t="s">
        <v>467</v>
      </c>
      <c r="E323">
        <v>250430</v>
      </c>
      <c r="G323" t="s">
        <v>471</v>
      </c>
      <c r="H323" t="s">
        <v>14</v>
      </c>
      <c r="I323">
        <v>84892</v>
      </c>
      <c r="J323" t="s">
        <v>472</v>
      </c>
    </row>
    <row r="324" spans="1:10" hidden="1" x14ac:dyDescent="0.2">
      <c r="A324" t="s">
        <v>473</v>
      </c>
      <c r="B324" t="s">
        <v>449</v>
      </c>
      <c r="C324" t="s">
        <v>27</v>
      </c>
      <c r="D324" t="s">
        <v>467</v>
      </c>
      <c r="E324">
        <v>250430</v>
      </c>
      <c r="G324" t="s">
        <v>474</v>
      </c>
      <c r="H324" t="s">
        <v>14</v>
      </c>
      <c r="I324">
        <v>84696</v>
      </c>
      <c r="J324" t="s">
        <v>475</v>
      </c>
    </row>
    <row r="325" spans="1:10" hidden="1" x14ac:dyDescent="0.2">
      <c r="A325" t="s">
        <v>976</v>
      </c>
      <c r="B325" t="s">
        <v>961</v>
      </c>
      <c r="C325" t="s">
        <v>11</v>
      </c>
      <c r="D325" t="s">
        <v>977</v>
      </c>
      <c r="E325">
        <v>250430</v>
      </c>
      <c r="G325" t="s">
        <v>978</v>
      </c>
      <c r="H325" t="s">
        <v>14</v>
      </c>
      <c r="I325">
        <v>85028</v>
      </c>
      <c r="J325" t="s">
        <v>979</v>
      </c>
    </row>
    <row r="326" spans="1:10" hidden="1" x14ac:dyDescent="0.2">
      <c r="A326" t="s">
        <v>980</v>
      </c>
      <c r="B326" t="s">
        <v>961</v>
      </c>
      <c r="C326" t="s">
        <v>20</v>
      </c>
      <c r="D326" t="s">
        <v>977</v>
      </c>
      <c r="E326">
        <v>250430</v>
      </c>
      <c r="G326" t="s">
        <v>981</v>
      </c>
      <c r="H326" t="s">
        <v>14</v>
      </c>
      <c r="I326">
        <v>85028</v>
      </c>
      <c r="J326" t="s">
        <v>982</v>
      </c>
    </row>
    <row r="327" spans="1:10" hidden="1" x14ac:dyDescent="0.2">
      <c r="A327" t="s">
        <v>983</v>
      </c>
      <c r="B327" t="s">
        <v>961</v>
      </c>
      <c r="C327" t="s">
        <v>27</v>
      </c>
      <c r="D327" t="s">
        <v>977</v>
      </c>
      <c r="E327">
        <v>250430</v>
      </c>
      <c r="G327" t="s">
        <v>984</v>
      </c>
      <c r="H327" t="s">
        <v>14</v>
      </c>
      <c r="I327">
        <v>85024</v>
      </c>
      <c r="J327" t="s">
        <v>985</v>
      </c>
    </row>
    <row r="328" spans="1:10" hidden="1" x14ac:dyDescent="0.2">
      <c r="A328" t="s">
        <v>409</v>
      </c>
      <c r="B328" t="s">
        <v>373</v>
      </c>
      <c r="C328" t="s">
        <v>11</v>
      </c>
      <c r="D328" t="s">
        <v>410</v>
      </c>
      <c r="E328">
        <v>250506</v>
      </c>
      <c r="G328" t="s">
        <v>411</v>
      </c>
      <c r="H328" t="s">
        <v>14</v>
      </c>
      <c r="I328">
        <v>85184</v>
      </c>
      <c r="J328" t="s">
        <v>412</v>
      </c>
    </row>
    <row r="329" spans="1:10" hidden="1" x14ac:dyDescent="0.2">
      <c r="A329" t="s">
        <v>413</v>
      </c>
      <c r="B329" t="s">
        <v>373</v>
      </c>
      <c r="C329" t="s">
        <v>11</v>
      </c>
      <c r="D329" t="s">
        <v>410</v>
      </c>
      <c r="E329">
        <v>250506</v>
      </c>
      <c r="G329" t="s">
        <v>414</v>
      </c>
      <c r="H329" t="s">
        <v>14</v>
      </c>
      <c r="I329">
        <v>85164</v>
      </c>
      <c r="J329" t="s">
        <v>415</v>
      </c>
    </row>
    <row r="330" spans="1:10" hidden="1" x14ac:dyDescent="0.2">
      <c r="A330" t="s">
        <v>416</v>
      </c>
      <c r="B330" t="s">
        <v>373</v>
      </c>
      <c r="C330" t="s">
        <v>20</v>
      </c>
      <c r="D330" t="s">
        <v>410</v>
      </c>
      <c r="E330">
        <v>250506</v>
      </c>
      <c r="G330" t="s">
        <v>417</v>
      </c>
      <c r="H330" t="s">
        <v>14</v>
      </c>
      <c r="I330">
        <v>85184</v>
      </c>
      <c r="J330" t="s">
        <v>418</v>
      </c>
    </row>
    <row r="331" spans="1:10" hidden="1" x14ac:dyDescent="0.2">
      <c r="A331" t="s">
        <v>419</v>
      </c>
      <c r="B331" t="s">
        <v>373</v>
      </c>
      <c r="C331" t="s">
        <v>20</v>
      </c>
      <c r="D331" t="s">
        <v>410</v>
      </c>
      <c r="E331">
        <v>250506</v>
      </c>
      <c r="G331" t="s">
        <v>420</v>
      </c>
      <c r="H331" t="s">
        <v>14</v>
      </c>
      <c r="I331">
        <v>85164</v>
      </c>
      <c r="J331" t="s">
        <v>421</v>
      </c>
    </row>
    <row r="332" spans="1:10" hidden="1" x14ac:dyDescent="0.2">
      <c r="A332" t="s">
        <v>422</v>
      </c>
      <c r="B332" t="s">
        <v>373</v>
      </c>
      <c r="C332" t="s">
        <v>27</v>
      </c>
      <c r="D332" t="s">
        <v>410</v>
      </c>
      <c r="E332">
        <v>250506</v>
      </c>
      <c r="G332" t="s">
        <v>423</v>
      </c>
      <c r="H332" t="s">
        <v>14</v>
      </c>
      <c r="I332">
        <v>85184</v>
      </c>
      <c r="J332" t="s">
        <v>424</v>
      </c>
    </row>
    <row r="333" spans="1:10" hidden="1" x14ac:dyDescent="0.2">
      <c r="A333" t="s">
        <v>425</v>
      </c>
      <c r="B333" t="s">
        <v>373</v>
      </c>
      <c r="C333" t="s">
        <v>27</v>
      </c>
      <c r="D333" t="s">
        <v>410</v>
      </c>
      <c r="E333">
        <v>250506</v>
      </c>
      <c r="G333" t="s">
        <v>426</v>
      </c>
      <c r="H333" t="s">
        <v>14</v>
      </c>
      <c r="I333">
        <v>85164</v>
      </c>
      <c r="J333" t="s">
        <v>427</v>
      </c>
    </row>
    <row r="334" spans="1:10" ht="16.5" x14ac:dyDescent="0.2">
      <c r="A334" t="s">
        <v>434</v>
      </c>
      <c r="B334" t="s">
        <v>373</v>
      </c>
      <c r="C334" t="s">
        <v>11</v>
      </c>
      <c r="D334" t="s">
        <v>410</v>
      </c>
      <c r="E334">
        <v>250506</v>
      </c>
      <c r="F334" s="7">
        <f t="shared" ref="F334:F339" si="4">DATE(2000+LEFT(E334,2), MID(E334,3,2), RIGHT(E334,2))</f>
        <v>45783</v>
      </c>
      <c r="G334" t="s">
        <v>411</v>
      </c>
      <c r="H334" t="s">
        <v>6</v>
      </c>
      <c r="I334">
        <v>85184</v>
      </c>
      <c r="J334" t="s">
        <v>435</v>
      </c>
    </row>
    <row r="335" spans="1:10" ht="16.5" x14ac:dyDescent="0.2">
      <c r="A335" t="s">
        <v>436</v>
      </c>
      <c r="B335" t="s">
        <v>373</v>
      </c>
      <c r="C335" t="s">
        <v>11</v>
      </c>
      <c r="D335" t="s">
        <v>410</v>
      </c>
      <c r="E335">
        <v>250506</v>
      </c>
      <c r="F335" s="7">
        <f t="shared" si="4"/>
        <v>45783</v>
      </c>
      <c r="G335" t="s">
        <v>414</v>
      </c>
      <c r="H335" t="s">
        <v>6</v>
      </c>
      <c r="I335">
        <v>85164</v>
      </c>
      <c r="J335" t="s">
        <v>437</v>
      </c>
    </row>
    <row r="336" spans="1:10" ht="16.5" x14ac:dyDescent="0.2">
      <c r="A336" t="s">
        <v>438</v>
      </c>
      <c r="B336" t="s">
        <v>373</v>
      </c>
      <c r="C336" t="s">
        <v>20</v>
      </c>
      <c r="D336" t="s">
        <v>410</v>
      </c>
      <c r="E336">
        <v>250506</v>
      </c>
      <c r="F336" s="7">
        <f t="shared" si="4"/>
        <v>45783</v>
      </c>
      <c r="G336" t="s">
        <v>417</v>
      </c>
      <c r="H336" t="s">
        <v>6</v>
      </c>
      <c r="I336">
        <v>85184</v>
      </c>
      <c r="J336" t="s">
        <v>439</v>
      </c>
    </row>
    <row r="337" spans="1:10" ht="16.5" x14ac:dyDescent="0.2">
      <c r="A337" t="s">
        <v>440</v>
      </c>
      <c r="B337" t="s">
        <v>373</v>
      </c>
      <c r="C337" t="s">
        <v>20</v>
      </c>
      <c r="D337" t="s">
        <v>410</v>
      </c>
      <c r="E337">
        <v>250506</v>
      </c>
      <c r="F337" s="7">
        <f t="shared" si="4"/>
        <v>45783</v>
      </c>
      <c r="G337" t="s">
        <v>420</v>
      </c>
      <c r="H337" t="s">
        <v>6</v>
      </c>
      <c r="I337">
        <v>85164</v>
      </c>
      <c r="J337" t="s">
        <v>441</v>
      </c>
    </row>
    <row r="338" spans="1:10" ht="16.5" x14ac:dyDescent="0.2">
      <c r="A338" t="s">
        <v>442</v>
      </c>
      <c r="B338" t="s">
        <v>373</v>
      </c>
      <c r="C338" t="s">
        <v>27</v>
      </c>
      <c r="D338" t="s">
        <v>410</v>
      </c>
      <c r="E338">
        <v>250506</v>
      </c>
      <c r="F338" s="7">
        <f t="shared" si="4"/>
        <v>45783</v>
      </c>
      <c r="G338" t="s">
        <v>423</v>
      </c>
      <c r="H338" t="s">
        <v>6</v>
      </c>
      <c r="I338">
        <v>85184</v>
      </c>
      <c r="J338" t="s">
        <v>443</v>
      </c>
    </row>
    <row r="339" spans="1:10" ht="16.5" x14ac:dyDescent="0.2">
      <c r="A339" t="s">
        <v>444</v>
      </c>
      <c r="B339" t="s">
        <v>373</v>
      </c>
      <c r="C339" t="s">
        <v>27</v>
      </c>
      <c r="D339" t="s">
        <v>410</v>
      </c>
      <c r="E339">
        <v>250506</v>
      </c>
      <c r="F339" s="7">
        <f t="shared" si="4"/>
        <v>45783</v>
      </c>
      <c r="G339" t="s">
        <v>426</v>
      </c>
      <c r="H339" t="s">
        <v>6</v>
      </c>
      <c r="I339">
        <v>85164</v>
      </c>
      <c r="J339" t="s">
        <v>445</v>
      </c>
    </row>
    <row r="340" spans="1:10" hidden="1" x14ac:dyDescent="0.2">
      <c r="A340" t="s">
        <v>476</v>
      </c>
      <c r="B340" t="s">
        <v>449</v>
      </c>
      <c r="C340" t="s">
        <v>11</v>
      </c>
      <c r="D340" t="s">
        <v>477</v>
      </c>
      <c r="E340">
        <v>250506</v>
      </c>
      <c r="G340" t="s">
        <v>478</v>
      </c>
      <c r="H340" t="s">
        <v>14</v>
      </c>
      <c r="I340">
        <v>85052</v>
      </c>
      <c r="J340" t="s">
        <v>479</v>
      </c>
    </row>
    <row r="341" spans="1:10" hidden="1" x14ac:dyDescent="0.2">
      <c r="A341" t="s">
        <v>480</v>
      </c>
      <c r="B341" t="s">
        <v>449</v>
      </c>
      <c r="C341" t="s">
        <v>20</v>
      </c>
      <c r="D341" t="s">
        <v>477</v>
      </c>
      <c r="E341">
        <v>250506</v>
      </c>
      <c r="G341" s="1" t="s">
        <v>481</v>
      </c>
      <c r="H341" t="s">
        <v>14</v>
      </c>
      <c r="I341">
        <v>84988</v>
      </c>
      <c r="J341" t="s">
        <v>482</v>
      </c>
    </row>
    <row r="342" spans="1:10" hidden="1" x14ac:dyDescent="0.2">
      <c r="A342" t="s">
        <v>483</v>
      </c>
      <c r="B342" t="s">
        <v>449</v>
      </c>
      <c r="C342" t="s">
        <v>27</v>
      </c>
      <c r="D342" t="s">
        <v>477</v>
      </c>
      <c r="E342">
        <v>250506</v>
      </c>
      <c r="G342" t="s">
        <v>484</v>
      </c>
      <c r="H342" t="s">
        <v>14</v>
      </c>
      <c r="I342">
        <v>84780</v>
      </c>
      <c r="J342" t="s">
        <v>485</v>
      </c>
    </row>
    <row r="343" spans="1:10" ht="16.5" x14ac:dyDescent="0.2">
      <c r="A343" t="s">
        <v>486</v>
      </c>
      <c r="B343" t="s">
        <v>449</v>
      </c>
      <c r="C343" t="s">
        <v>11</v>
      </c>
      <c r="D343" t="s">
        <v>477</v>
      </c>
      <c r="E343">
        <v>250506</v>
      </c>
      <c r="F343" s="7">
        <f>DATE(2000+LEFT(E343,2), MID(E343,3,2), RIGHT(E343,2))</f>
        <v>45783</v>
      </c>
      <c r="G343" t="s">
        <v>478</v>
      </c>
      <c r="H343" t="s">
        <v>6</v>
      </c>
      <c r="I343">
        <v>85052</v>
      </c>
      <c r="J343" t="s">
        <v>487</v>
      </c>
    </row>
    <row r="344" spans="1:10" ht="16.5" x14ac:dyDescent="0.2">
      <c r="A344" t="s">
        <v>488</v>
      </c>
      <c r="B344" t="s">
        <v>449</v>
      </c>
      <c r="C344" t="s">
        <v>20</v>
      </c>
      <c r="D344" t="s">
        <v>477</v>
      </c>
      <c r="E344">
        <v>250506</v>
      </c>
      <c r="F344" s="7">
        <f>DATE(2000+LEFT(E344,2), MID(E344,3,2), RIGHT(E344,2))</f>
        <v>45783</v>
      </c>
      <c r="G344" s="1" t="s">
        <v>481</v>
      </c>
      <c r="H344" t="s">
        <v>6</v>
      </c>
      <c r="I344">
        <v>84988</v>
      </c>
      <c r="J344" t="s">
        <v>489</v>
      </c>
    </row>
    <row r="345" spans="1:10" ht="16.5" x14ac:dyDescent="0.2">
      <c r="A345" t="s">
        <v>490</v>
      </c>
      <c r="B345" t="s">
        <v>449</v>
      </c>
      <c r="C345" t="s">
        <v>27</v>
      </c>
      <c r="D345" t="s">
        <v>477</v>
      </c>
      <c r="E345">
        <v>250506</v>
      </c>
      <c r="F345" s="7">
        <f>DATE(2000+LEFT(E345,2), MID(E345,3,2), RIGHT(E345,2))</f>
        <v>45783</v>
      </c>
      <c r="G345" t="s">
        <v>484</v>
      </c>
      <c r="H345" t="s">
        <v>6</v>
      </c>
      <c r="I345">
        <v>84780</v>
      </c>
      <c r="J345" t="s">
        <v>491</v>
      </c>
    </row>
    <row r="346" spans="1:10" hidden="1" x14ac:dyDescent="0.2">
      <c r="A346" t="s">
        <v>560</v>
      </c>
      <c r="B346" t="s">
        <v>533</v>
      </c>
      <c r="C346" t="s">
        <v>11</v>
      </c>
      <c r="D346" t="s">
        <v>149</v>
      </c>
      <c r="E346">
        <v>250506</v>
      </c>
      <c r="G346" t="s">
        <v>561</v>
      </c>
      <c r="H346" t="s">
        <v>14</v>
      </c>
      <c r="I346">
        <v>83236</v>
      </c>
      <c r="J346" t="s">
        <v>562</v>
      </c>
    </row>
    <row r="347" spans="1:10" hidden="1" x14ac:dyDescent="0.2">
      <c r="A347" t="s">
        <v>563</v>
      </c>
      <c r="B347" t="s">
        <v>533</v>
      </c>
      <c r="C347" t="s">
        <v>20</v>
      </c>
      <c r="D347" t="s">
        <v>149</v>
      </c>
      <c r="E347">
        <v>250506</v>
      </c>
      <c r="G347" t="s">
        <v>564</v>
      </c>
      <c r="H347" t="s">
        <v>14</v>
      </c>
      <c r="I347">
        <v>83236</v>
      </c>
      <c r="J347" t="s">
        <v>565</v>
      </c>
    </row>
    <row r="348" spans="1:10" hidden="1" x14ac:dyDescent="0.2">
      <c r="A348" t="s">
        <v>566</v>
      </c>
      <c r="B348" t="s">
        <v>533</v>
      </c>
      <c r="C348" t="s">
        <v>27</v>
      </c>
      <c r="D348" t="s">
        <v>149</v>
      </c>
      <c r="E348">
        <v>250506</v>
      </c>
      <c r="G348" t="s">
        <v>567</v>
      </c>
      <c r="H348" t="s">
        <v>14</v>
      </c>
      <c r="I348">
        <v>83064</v>
      </c>
      <c r="J348" t="s">
        <v>568</v>
      </c>
    </row>
    <row r="349" spans="1:10" hidden="1" x14ac:dyDescent="0.2">
      <c r="A349" t="s">
        <v>1309</v>
      </c>
      <c r="B349" t="s">
        <v>1310</v>
      </c>
      <c r="C349" t="s">
        <v>11</v>
      </c>
      <c r="D349" t="s">
        <v>549</v>
      </c>
      <c r="E349">
        <v>250512</v>
      </c>
      <c r="G349" t="s">
        <v>1311</v>
      </c>
      <c r="H349" t="s">
        <v>14</v>
      </c>
      <c r="I349">
        <v>90472</v>
      </c>
      <c r="J349" t="s">
        <v>1312</v>
      </c>
    </row>
    <row r="350" spans="1:10" hidden="1" x14ac:dyDescent="0.2">
      <c r="A350" t="s">
        <v>1313</v>
      </c>
      <c r="B350" t="s">
        <v>1310</v>
      </c>
      <c r="C350" t="s">
        <v>144</v>
      </c>
      <c r="D350" t="s">
        <v>549</v>
      </c>
      <c r="E350">
        <v>250512</v>
      </c>
      <c r="G350">
        <v>2106</v>
      </c>
      <c r="H350" t="s">
        <v>14</v>
      </c>
      <c r="I350">
        <v>90308</v>
      </c>
      <c r="J350" t="s">
        <v>1314</v>
      </c>
    </row>
    <row r="351" spans="1:10" hidden="1" x14ac:dyDescent="0.2">
      <c r="A351" t="s">
        <v>1315</v>
      </c>
      <c r="B351" t="s">
        <v>1310</v>
      </c>
      <c r="C351" t="s">
        <v>20</v>
      </c>
      <c r="D351" t="s">
        <v>549</v>
      </c>
      <c r="E351">
        <v>250512</v>
      </c>
      <c r="G351" t="s">
        <v>1316</v>
      </c>
      <c r="H351" t="s">
        <v>14</v>
      </c>
      <c r="I351">
        <v>90472</v>
      </c>
      <c r="J351" t="s">
        <v>1317</v>
      </c>
    </row>
    <row r="352" spans="1:10" hidden="1" x14ac:dyDescent="0.2">
      <c r="A352" t="s">
        <v>1318</v>
      </c>
      <c r="B352" t="s">
        <v>1310</v>
      </c>
      <c r="C352" t="s">
        <v>27</v>
      </c>
      <c r="D352" t="s">
        <v>549</v>
      </c>
      <c r="E352">
        <v>250512</v>
      </c>
      <c r="G352" t="s">
        <v>1319</v>
      </c>
      <c r="H352" t="s">
        <v>14</v>
      </c>
      <c r="I352">
        <v>90308</v>
      </c>
      <c r="J352" t="s">
        <v>1320</v>
      </c>
    </row>
    <row r="353" spans="1:10" hidden="1" x14ac:dyDescent="0.2">
      <c r="A353" t="s">
        <v>792</v>
      </c>
      <c r="B353" t="s">
        <v>1561</v>
      </c>
      <c r="C353" t="s">
        <v>11</v>
      </c>
      <c r="D353" t="s">
        <v>793</v>
      </c>
      <c r="E353">
        <v>250519</v>
      </c>
      <c r="G353" t="s">
        <v>794</v>
      </c>
      <c r="H353" t="s">
        <v>14</v>
      </c>
      <c r="I353">
        <v>92000</v>
      </c>
      <c r="J353" t="s">
        <v>795</v>
      </c>
    </row>
    <row r="354" spans="1:10" hidden="1" x14ac:dyDescent="0.2">
      <c r="A354" t="s">
        <v>796</v>
      </c>
      <c r="B354" t="s">
        <v>1561</v>
      </c>
      <c r="C354" t="s">
        <v>20</v>
      </c>
      <c r="D354" t="s">
        <v>793</v>
      </c>
      <c r="E354">
        <v>250519</v>
      </c>
      <c r="G354">
        <v>1965</v>
      </c>
      <c r="H354" t="s">
        <v>14</v>
      </c>
      <c r="I354">
        <v>92000</v>
      </c>
      <c r="J354" t="s">
        <v>797</v>
      </c>
    </row>
    <row r="355" spans="1:10" hidden="1" x14ac:dyDescent="0.2">
      <c r="A355" t="s">
        <v>798</v>
      </c>
      <c r="B355" t="s">
        <v>1561</v>
      </c>
      <c r="C355" t="s">
        <v>27</v>
      </c>
      <c r="D355" t="s">
        <v>793</v>
      </c>
      <c r="E355">
        <v>250519</v>
      </c>
      <c r="G355" t="s">
        <v>799</v>
      </c>
      <c r="H355" t="s">
        <v>14</v>
      </c>
      <c r="I355">
        <v>91824</v>
      </c>
      <c r="J355" t="s">
        <v>800</v>
      </c>
    </row>
    <row r="356" spans="1:10" hidden="1" x14ac:dyDescent="0.2">
      <c r="A356" t="s">
        <v>781</v>
      </c>
      <c r="B356" t="s">
        <v>622</v>
      </c>
      <c r="C356" t="s">
        <v>27</v>
      </c>
      <c r="D356" t="s">
        <v>725</v>
      </c>
      <c r="E356">
        <v>250521</v>
      </c>
      <c r="G356" t="s">
        <v>782</v>
      </c>
      <c r="H356" t="s">
        <v>14</v>
      </c>
      <c r="I356">
        <v>76016</v>
      </c>
      <c r="J356" t="s">
        <v>783</v>
      </c>
    </row>
    <row r="357" spans="1:10" hidden="1" x14ac:dyDescent="0.2">
      <c r="A357" t="s">
        <v>1437</v>
      </c>
      <c r="B357" t="s">
        <v>1409</v>
      </c>
      <c r="C357" t="s">
        <v>11</v>
      </c>
      <c r="D357" t="s">
        <v>1438</v>
      </c>
      <c r="E357">
        <v>250521</v>
      </c>
      <c r="G357" t="s">
        <v>1439</v>
      </c>
      <c r="H357" t="s">
        <v>14</v>
      </c>
      <c r="I357">
        <v>72496</v>
      </c>
      <c r="J357" t="s">
        <v>1440</v>
      </c>
    </row>
    <row r="358" spans="1:10" hidden="1" x14ac:dyDescent="0.2">
      <c r="A358" t="s">
        <v>1441</v>
      </c>
      <c r="B358" t="s">
        <v>1409</v>
      </c>
      <c r="C358" t="s">
        <v>20</v>
      </c>
      <c r="D358" t="s">
        <v>1438</v>
      </c>
      <c r="E358">
        <v>250521</v>
      </c>
      <c r="G358" t="s">
        <v>1442</v>
      </c>
      <c r="H358" t="s">
        <v>14</v>
      </c>
      <c r="I358">
        <v>72428</v>
      </c>
      <c r="J358" t="s">
        <v>1443</v>
      </c>
    </row>
    <row r="359" spans="1:10" hidden="1" x14ac:dyDescent="0.2">
      <c r="A359" t="s">
        <v>1444</v>
      </c>
      <c r="B359" t="s">
        <v>1409</v>
      </c>
      <c r="C359" t="s">
        <v>27</v>
      </c>
      <c r="D359" t="s">
        <v>1438</v>
      </c>
      <c r="E359">
        <v>250521</v>
      </c>
      <c r="G359" t="s">
        <v>1445</v>
      </c>
      <c r="H359" t="s">
        <v>14</v>
      </c>
      <c r="I359">
        <v>72232</v>
      </c>
      <c r="J359" t="s">
        <v>1446</v>
      </c>
    </row>
    <row r="360" spans="1:10" ht="16.5" x14ac:dyDescent="0.2">
      <c r="A360" t="s">
        <v>1447</v>
      </c>
      <c r="B360" t="s">
        <v>1409</v>
      </c>
      <c r="C360" t="s">
        <v>11</v>
      </c>
      <c r="D360" t="s">
        <v>1438</v>
      </c>
      <c r="E360">
        <v>250521</v>
      </c>
      <c r="F360" s="7">
        <f>DATE(2000+LEFT(E360,2), MID(E360,3,2), RIGHT(E360,2))</f>
        <v>45798</v>
      </c>
      <c r="G360" t="s">
        <v>1439</v>
      </c>
      <c r="H360" t="s">
        <v>6</v>
      </c>
      <c r="I360">
        <v>72496</v>
      </c>
      <c r="J360" t="s">
        <v>1448</v>
      </c>
    </row>
    <row r="361" spans="1:10" ht="16.5" x14ac:dyDescent="0.2">
      <c r="A361" t="s">
        <v>1449</v>
      </c>
      <c r="B361" t="s">
        <v>1409</v>
      </c>
      <c r="C361" t="s">
        <v>20</v>
      </c>
      <c r="D361" t="s">
        <v>1438</v>
      </c>
      <c r="E361">
        <v>250521</v>
      </c>
      <c r="F361" s="7">
        <f>DATE(2000+LEFT(E361,2), MID(E361,3,2), RIGHT(E361,2))</f>
        <v>45798</v>
      </c>
      <c r="G361" t="s">
        <v>1442</v>
      </c>
      <c r="H361" t="s">
        <v>6</v>
      </c>
      <c r="I361">
        <v>72428</v>
      </c>
      <c r="J361" t="s">
        <v>1450</v>
      </c>
    </row>
    <row r="362" spans="1:10" ht="16.5" x14ac:dyDescent="0.2">
      <c r="A362" t="s">
        <v>1451</v>
      </c>
      <c r="B362" t="s">
        <v>1409</v>
      </c>
      <c r="C362" t="s">
        <v>27</v>
      </c>
      <c r="D362" t="s">
        <v>1438</v>
      </c>
      <c r="E362">
        <v>250521</v>
      </c>
      <c r="F362" s="7">
        <f>DATE(2000+LEFT(E362,2), MID(E362,3,2), RIGHT(E362,2))</f>
        <v>45798</v>
      </c>
      <c r="G362" t="s">
        <v>1445</v>
      </c>
      <c r="H362" t="s">
        <v>6</v>
      </c>
      <c r="I362">
        <v>72232</v>
      </c>
      <c r="J362" t="s">
        <v>1452</v>
      </c>
    </row>
    <row r="363" spans="1:10" hidden="1" x14ac:dyDescent="0.2">
      <c r="A363" t="s">
        <v>810</v>
      </c>
      <c r="B363" t="s">
        <v>1561</v>
      </c>
      <c r="C363" t="s">
        <v>11</v>
      </c>
      <c r="D363" t="s">
        <v>793</v>
      </c>
      <c r="E363">
        <v>250522</v>
      </c>
      <c r="G363" t="s">
        <v>811</v>
      </c>
      <c r="H363" t="s">
        <v>14</v>
      </c>
      <c r="I363">
        <v>91984</v>
      </c>
      <c r="J363" t="s">
        <v>812</v>
      </c>
    </row>
    <row r="364" spans="1:10" hidden="1" x14ac:dyDescent="0.2">
      <c r="A364" t="s">
        <v>813</v>
      </c>
      <c r="B364" t="s">
        <v>1561</v>
      </c>
      <c r="C364" t="s">
        <v>20</v>
      </c>
      <c r="D364" t="s">
        <v>793</v>
      </c>
      <c r="E364">
        <v>250522</v>
      </c>
      <c r="G364" t="s">
        <v>814</v>
      </c>
      <c r="H364" t="s">
        <v>14</v>
      </c>
      <c r="I364">
        <v>91984</v>
      </c>
      <c r="J364" t="s">
        <v>815</v>
      </c>
    </row>
    <row r="365" spans="1:10" hidden="1" x14ac:dyDescent="0.2">
      <c r="A365" t="s">
        <v>816</v>
      </c>
      <c r="B365" t="s">
        <v>1561</v>
      </c>
      <c r="C365" t="s">
        <v>27</v>
      </c>
      <c r="D365" t="s">
        <v>793</v>
      </c>
      <c r="E365">
        <v>250522</v>
      </c>
      <c r="G365" t="s">
        <v>817</v>
      </c>
      <c r="H365" t="s">
        <v>14</v>
      </c>
      <c r="I365">
        <v>91812</v>
      </c>
      <c r="J365" t="s">
        <v>818</v>
      </c>
    </row>
    <row r="366" spans="1:10" hidden="1" x14ac:dyDescent="0.2">
      <c r="A366" t="s">
        <v>1512</v>
      </c>
      <c r="B366" t="s">
        <v>1472</v>
      </c>
      <c r="C366" t="s">
        <v>11</v>
      </c>
      <c r="D366" t="s">
        <v>549</v>
      </c>
      <c r="E366">
        <v>250522</v>
      </c>
      <c r="G366" t="s">
        <v>1513</v>
      </c>
      <c r="H366" t="s">
        <v>14</v>
      </c>
      <c r="I366">
        <v>88688</v>
      </c>
      <c r="J366" t="s">
        <v>1514</v>
      </c>
    </row>
    <row r="367" spans="1:10" hidden="1" x14ac:dyDescent="0.2">
      <c r="A367" t="s">
        <v>1515</v>
      </c>
      <c r="B367" t="s">
        <v>1472</v>
      </c>
      <c r="C367" t="s">
        <v>20</v>
      </c>
      <c r="D367" t="s">
        <v>549</v>
      </c>
      <c r="E367">
        <v>250522</v>
      </c>
      <c r="G367" t="s">
        <v>1516</v>
      </c>
      <c r="H367" t="s">
        <v>14</v>
      </c>
      <c r="I367">
        <v>88688</v>
      </c>
      <c r="J367" t="s">
        <v>1517</v>
      </c>
    </row>
    <row r="368" spans="1:10" hidden="1" x14ac:dyDescent="0.2">
      <c r="A368" t="s">
        <v>1518</v>
      </c>
      <c r="B368" t="s">
        <v>1472</v>
      </c>
      <c r="C368" t="s">
        <v>27</v>
      </c>
      <c r="D368" t="s">
        <v>549</v>
      </c>
      <c r="E368">
        <v>250522</v>
      </c>
      <c r="G368" t="s">
        <v>1519</v>
      </c>
      <c r="H368" t="s">
        <v>14</v>
      </c>
      <c r="I368">
        <v>88516</v>
      </c>
      <c r="J368" t="s">
        <v>1520</v>
      </c>
    </row>
    <row r="369" spans="1:10" hidden="1" x14ac:dyDescent="0.2">
      <c r="A369" t="s">
        <v>737</v>
      </c>
      <c r="B369" t="s">
        <v>622</v>
      </c>
      <c r="C369" t="s">
        <v>11</v>
      </c>
      <c r="D369" t="s">
        <v>738</v>
      </c>
      <c r="E369">
        <v>250523</v>
      </c>
      <c r="G369" t="s">
        <v>739</v>
      </c>
      <c r="H369" t="s">
        <v>14</v>
      </c>
      <c r="I369">
        <v>81488</v>
      </c>
      <c r="J369" t="s">
        <v>740</v>
      </c>
    </row>
    <row r="370" spans="1:10" hidden="1" x14ac:dyDescent="0.2">
      <c r="A370" t="s">
        <v>741</v>
      </c>
      <c r="B370" t="s">
        <v>622</v>
      </c>
      <c r="C370" t="s">
        <v>144</v>
      </c>
      <c r="D370" t="s">
        <v>738</v>
      </c>
      <c r="E370">
        <v>250523</v>
      </c>
      <c r="G370" t="s">
        <v>742</v>
      </c>
      <c r="H370" t="s">
        <v>14</v>
      </c>
      <c r="I370">
        <v>81324</v>
      </c>
      <c r="J370" t="s">
        <v>743</v>
      </c>
    </row>
    <row r="371" spans="1:10" hidden="1" x14ac:dyDescent="0.2">
      <c r="A371" t="s">
        <v>744</v>
      </c>
      <c r="B371" t="s">
        <v>622</v>
      </c>
      <c r="C371" t="s">
        <v>20</v>
      </c>
      <c r="D371" t="s">
        <v>738</v>
      </c>
      <c r="E371">
        <v>250523</v>
      </c>
      <c r="G371">
        <v>4632</v>
      </c>
      <c r="H371" t="s">
        <v>14</v>
      </c>
      <c r="I371">
        <v>81488</v>
      </c>
      <c r="J371" t="s">
        <v>745</v>
      </c>
    </row>
    <row r="372" spans="1:10" hidden="1" x14ac:dyDescent="0.2">
      <c r="A372" t="s">
        <v>746</v>
      </c>
      <c r="B372" t="s">
        <v>622</v>
      </c>
      <c r="C372" t="s">
        <v>27</v>
      </c>
      <c r="D372" t="s">
        <v>738</v>
      </c>
      <c r="E372">
        <v>250523</v>
      </c>
      <c r="G372" t="s">
        <v>747</v>
      </c>
      <c r="H372" t="s">
        <v>14</v>
      </c>
      <c r="I372">
        <v>81324</v>
      </c>
      <c r="J372" t="s">
        <v>748</v>
      </c>
    </row>
    <row r="373" spans="1:10" ht="16.5" x14ac:dyDescent="0.2">
      <c r="A373" t="s">
        <v>773</v>
      </c>
      <c r="B373" t="s">
        <v>622</v>
      </c>
      <c r="C373" t="s">
        <v>144</v>
      </c>
      <c r="D373" t="s">
        <v>738</v>
      </c>
      <c r="E373">
        <v>250523</v>
      </c>
      <c r="F373" s="7">
        <f>DATE(2000+LEFT(E373,2), MID(E373,3,2), RIGHT(E373,2))</f>
        <v>45800</v>
      </c>
      <c r="G373" t="s">
        <v>742</v>
      </c>
      <c r="H373" t="s">
        <v>6</v>
      </c>
      <c r="I373">
        <v>81324</v>
      </c>
      <c r="J373" t="s">
        <v>774</v>
      </c>
    </row>
    <row r="374" spans="1:10" ht="16.5" x14ac:dyDescent="0.2">
      <c r="A374" t="s">
        <v>775</v>
      </c>
      <c r="B374" t="s">
        <v>622</v>
      </c>
      <c r="C374" t="s">
        <v>20</v>
      </c>
      <c r="D374" t="s">
        <v>738</v>
      </c>
      <c r="E374">
        <v>250523</v>
      </c>
      <c r="F374" s="7">
        <f>DATE(2000+LEFT(E374,2), MID(E374,3,2), RIGHT(E374,2))</f>
        <v>45800</v>
      </c>
      <c r="G374">
        <v>4632</v>
      </c>
      <c r="H374" t="s">
        <v>6</v>
      </c>
      <c r="I374">
        <v>81488</v>
      </c>
      <c r="J374" t="s">
        <v>776</v>
      </c>
    </row>
    <row r="375" spans="1:10" ht="16.5" x14ac:dyDescent="0.2">
      <c r="A375" t="s">
        <v>777</v>
      </c>
      <c r="B375" t="s">
        <v>622</v>
      </c>
      <c r="C375" t="s">
        <v>27</v>
      </c>
      <c r="D375" t="s">
        <v>738</v>
      </c>
      <c r="E375">
        <v>250523</v>
      </c>
      <c r="F375" s="7">
        <f>DATE(2000+LEFT(E375,2), MID(E375,3,2), RIGHT(E375,2))</f>
        <v>45800</v>
      </c>
      <c r="G375" t="s">
        <v>747</v>
      </c>
      <c r="H375" t="s">
        <v>6</v>
      </c>
      <c r="I375">
        <v>81324</v>
      </c>
      <c r="J375" t="s">
        <v>778</v>
      </c>
    </row>
    <row r="376" spans="1:10" hidden="1" x14ac:dyDescent="0.2">
      <c r="A376" t="s">
        <v>1321</v>
      </c>
      <c r="B376" t="s">
        <v>1310</v>
      </c>
      <c r="C376" t="s">
        <v>11</v>
      </c>
      <c r="D376" t="s">
        <v>820</v>
      </c>
      <c r="E376">
        <v>250523</v>
      </c>
      <c r="G376">
        <v>478</v>
      </c>
      <c r="H376" t="s">
        <v>14</v>
      </c>
      <c r="I376">
        <v>90168</v>
      </c>
      <c r="J376" t="s">
        <v>1322</v>
      </c>
    </row>
    <row r="377" spans="1:10" hidden="1" x14ac:dyDescent="0.2">
      <c r="A377" t="s">
        <v>1323</v>
      </c>
      <c r="B377" t="s">
        <v>1310</v>
      </c>
      <c r="C377" t="s">
        <v>144</v>
      </c>
      <c r="D377" t="s">
        <v>820</v>
      </c>
      <c r="E377">
        <v>250523</v>
      </c>
      <c r="G377" t="s">
        <v>1324</v>
      </c>
      <c r="H377" t="s">
        <v>14</v>
      </c>
      <c r="I377">
        <v>90004</v>
      </c>
      <c r="J377" t="s">
        <v>1325</v>
      </c>
    </row>
    <row r="378" spans="1:10" hidden="1" x14ac:dyDescent="0.2">
      <c r="A378" t="s">
        <v>1326</v>
      </c>
      <c r="B378" t="s">
        <v>1310</v>
      </c>
      <c r="C378" t="s">
        <v>20</v>
      </c>
      <c r="D378" t="s">
        <v>820</v>
      </c>
      <c r="E378">
        <v>250523</v>
      </c>
      <c r="G378" t="s">
        <v>1327</v>
      </c>
      <c r="H378" t="s">
        <v>14</v>
      </c>
      <c r="I378">
        <v>90168</v>
      </c>
      <c r="J378" t="s">
        <v>1328</v>
      </c>
    </row>
    <row r="379" spans="1:10" hidden="1" x14ac:dyDescent="0.2">
      <c r="A379" t="s">
        <v>1329</v>
      </c>
      <c r="B379" t="s">
        <v>1310</v>
      </c>
      <c r="C379" t="s">
        <v>27</v>
      </c>
      <c r="D379" t="s">
        <v>820</v>
      </c>
      <c r="E379">
        <v>250523</v>
      </c>
      <c r="G379" t="s">
        <v>1330</v>
      </c>
      <c r="H379" t="s">
        <v>14</v>
      </c>
      <c r="I379">
        <v>90004</v>
      </c>
      <c r="J379" t="s">
        <v>1331</v>
      </c>
    </row>
    <row r="380" spans="1:10" hidden="1" x14ac:dyDescent="0.2">
      <c r="A380" t="s">
        <v>1332</v>
      </c>
      <c r="B380" t="s">
        <v>1310</v>
      </c>
      <c r="C380" t="s">
        <v>11</v>
      </c>
      <c r="D380" t="s">
        <v>831</v>
      </c>
      <c r="E380">
        <v>250526</v>
      </c>
      <c r="G380" t="s">
        <v>1333</v>
      </c>
      <c r="H380" t="s">
        <v>14</v>
      </c>
      <c r="I380">
        <v>90228</v>
      </c>
      <c r="J380" t="s">
        <v>1334</v>
      </c>
    </row>
    <row r="381" spans="1:10" hidden="1" x14ac:dyDescent="0.2">
      <c r="A381" t="s">
        <v>1335</v>
      </c>
      <c r="B381" t="s">
        <v>1310</v>
      </c>
      <c r="C381" t="s">
        <v>144</v>
      </c>
      <c r="D381" t="s">
        <v>831</v>
      </c>
      <c r="E381">
        <v>250526</v>
      </c>
      <c r="G381" t="s">
        <v>1336</v>
      </c>
      <c r="H381" t="s">
        <v>14</v>
      </c>
      <c r="I381">
        <v>90056</v>
      </c>
      <c r="J381" t="s">
        <v>1337</v>
      </c>
    </row>
    <row r="382" spans="1:10" hidden="1" x14ac:dyDescent="0.2">
      <c r="A382" t="s">
        <v>1338</v>
      </c>
      <c r="B382" t="s">
        <v>1310</v>
      </c>
      <c r="C382" t="s">
        <v>20</v>
      </c>
      <c r="D382" t="s">
        <v>831</v>
      </c>
      <c r="E382">
        <v>250526</v>
      </c>
      <c r="G382" t="s">
        <v>1339</v>
      </c>
      <c r="H382" t="s">
        <v>14</v>
      </c>
      <c r="I382">
        <v>90228</v>
      </c>
      <c r="J382" t="s">
        <v>1340</v>
      </c>
    </row>
    <row r="383" spans="1:10" hidden="1" x14ac:dyDescent="0.2">
      <c r="A383" t="s">
        <v>1341</v>
      </c>
      <c r="B383" t="s">
        <v>1310</v>
      </c>
      <c r="C383" t="s">
        <v>27</v>
      </c>
      <c r="D383" t="s">
        <v>831</v>
      </c>
      <c r="E383">
        <v>250526</v>
      </c>
      <c r="G383" t="s">
        <v>1342</v>
      </c>
      <c r="H383" t="s">
        <v>14</v>
      </c>
      <c r="I383">
        <v>90060</v>
      </c>
      <c r="J383" t="s">
        <v>1343</v>
      </c>
    </row>
    <row r="384" spans="1:10" hidden="1" x14ac:dyDescent="0.2">
      <c r="A384" t="s">
        <v>569</v>
      </c>
      <c r="B384" t="s">
        <v>533</v>
      </c>
      <c r="C384" t="s">
        <v>11</v>
      </c>
      <c r="D384" t="s">
        <v>570</v>
      </c>
      <c r="E384">
        <v>250527</v>
      </c>
      <c r="G384" t="s">
        <v>571</v>
      </c>
      <c r="H384" t="s">
        <v>14</v>
      </c>
      <c r="I384">
        <v>82584</v>
      </c>
      <c r="J384" t="s">
        <v>572</v>
      </c>
    </row>
    <row r="385" spans="1:10" hidden="1" x14ac:dyDescent="0.2">
      <c r="A385" t="s">
        <v>573</v>
      </c>
      <c r="B385" t="s">
        <v>533</v>
      </c>
      <c r="C385" t="s">
        <v>20</v>
      </c>
      <c r="D385" t="s">
        <v>570</v>
      </c>
      <c r="E385">
        <v>250527</v>
      </c>
      <c r="G385">
        <v>6642</v>
      </c>
      <c r="H385" t="s">
        <v>14</v>
      </c>
      <c r="I385">
        <v>82580</v>
      </c>
      <c r="J385" t="s">
        <v>574</v>
      </c>
    </row>
    <row r="386" spans="1:10" hidden="1" x14ac:dyDescent="0.2">
      <c r="A386" t="s">
        <v>575</v>
      </c>
      <c r="B386" t="s">
        <v>533</v>
      </c>
      <c r="C386" t="s">
        <v>27</v>
      </c>
      <c r="D386" t="s">
        <v>570</v>
      </c>
      <c r="E386">
        <v>250527</v>
      </c>
      <c r="G386">
        <v>6377</v>
      </c>
      <c r="H386" t="s">
        <v>14</v>
      </c>
      <c r="I386">
        <v>82420</v>
      </c>
      <c r="J386" t="s">
        <v>576</v>
      </c>
    </row>
    <row r="387" spans="1:10" hidden="1" x14ac:dyDescent="0.2">
      <c r="A387" t="s">
        <v>308</v>
      </c>
      <c r="B387" t="s">
        <v>309</v>
      </c>
      <c r="C387" t="s">
        <v>82</v>
      </c>
      <c r="D387" t="s">
        <v>135</v>
      </c>
      <c r="E387">
        <v>250528</v>
      </c>
      <c r="G387" t="s">
        <v>310</v>
      </c>
      <c r="H387" t="s">
        <v>14</v>
      </c>
      <c r="I387">
        <v>82848</v>
      </c>
      <c r="J387" t="s">
        <v>311</v>
      </c>
    </row>
    <row r="388" spans="1:10" hidden="1" x14ac:dyDescent="0.2">
      <c r="A388" t="s">
        <v>312</v>
      </c>
      <c r="B388" t="s">
        <v>309</v>
      </c>
      <c r="C388" t="s">
        <v>77</v>
      </c>
      <c r="D388" t="s">
        <v>135</v>
      </c>
      <c r="E388">
        <v>250528</v>
      </c>
      <c r="G388" t="s">
        <v>313</v>
      </c>
      <c r="H388" t="s">
        <v>14</v>
      </c>
      <c r="I388">
        <v>82816</v>
      </c>
      <c r="J388" t="s">
        <v>314</v>
      </c>
    </row>
    <row r="389" spans="1:10" ht="16.5" x14ac:dyDescent="0.2">
      <c r="A389" t="s">
        <v>356</v>
      </c>
      <c r="B389" t="s">
        <v>309</v>
      </c>
      <c r="C389" t="s">
        <v>82</v>
      </c>
      <c r="D389" t="s">
        <v>135</v>
      </c>
      <c r="E389">
        <v>250528</v>
      </c>
      <c r="F389" s="7">
        <f>DATE(2000+LEFT(E389,2), MID(E389,3,2), RIGHT(E389,2))</f>
        <v>45805</v>
      </c>
      <c r="G389" t="s">
        <v>310</v>
      </c>
      <c r="H389" t="s">
        <v>6</v>
      </c>
      <c r="I389">
        <v>82848</v>
      </c>
      <c r="J389" t="s">
        <v>357</v>
      </c>
    </row>
    <row r="390" spans="1:10" ht="16.5" x14ac:dyDescent="0.2">
      <c r="A390" t="s">
        <v>358</v>
      </c>
      <c r="B390" t="s">
        <v>309</v>
      </c>
      <c r="C390" t="s">
        <v>77</v>
      </c>
      <c r="D390" t="s">
        <v>135</v>
      </c>
      <c r="E390">
        <v>250528</v>
      </c>
      <c r="F390" s="7">
        <f>DATE(2000+LEFT(E390,2), MID(E390,3,2), RIGHT(E390,2))</f>
        <v>45805</v>
      </c>
      <c r="G390" t="s">
        <v>313</v>
      </c>
      <c r="H390" t="s">
        <v>6</v>
      </c>
      <c r="I390">
        <v>82816</v>
      </c>
      <c r="J390" t="s">
        <v>359</v>
      </c>
    </row>
    <row r="391" spans="1:10" hidden="1" x14ac:dyDescent="0.2">
      <c r="A391" t="s">
        <v>577</v>
      </c>
      <c r="B391" t="s">
        <v>533</v>
      </c>
      <c r="C391" t="s">
        <v>11</v>
      </c>
      <c r="D391" t="s">
        <v>494</v>
      </c>
      <c r="E391">
        <v>250529</v>
      </c>
      <c r="G391">
        <v>5649</v>
      </c>
      <c r="H391" t="s">
        <v>14</v>
      </c>
      <c r="I391">
        <v>82536</v>
      </c>
      <c r="J391" t="s">
        <v>578</v>
      </c>
    </row>
    <row r="392" spans="1:10" hidden="1" x14ac:dyDescent="0.2">
      <c r="A392" t="s">
        <v>579</v>
      </c>
      <c r="B392" t="s">
        <v>533</v>
      </c>
      <c r="C392" t="s">
        <v>20</v>
      </c>
      <c r="D392" t="s">
        <v>494</v>
      </c>
      <c r="E392">
        <v>250529</v>
      </c>
      <c r="G392" t="s">
        <v>580</v>
      </c>
      <c r="H392" t="s">
        <v>14</v>
      </c>
      <c r="I392">
        <v>82536</v>
      </c>
      <c r="J392" t="s">
        <v>581</v>
      </c>
    </row>
    <row r="393" spans="1:10" hidden="1" x14ac:dyDescent="0.2">
      <c r="A393" t="s">
        <v>582</v>
      </c>
      <c r="B393" t="s">
        <v>533</v>
      </c>
      <c r="C393" t="s">
        <v>27</v>
      </c>
      <c r="D393" t="s">
        <v>494</v>
      </c>
      <c r="E393">
        <v>250529</v>
      </c>
      <c r="G393" t="s">
        <v>583</v>
      </c>
      <c r="H393" t="s">
        <v>14</v>
      </c>
      <c r="I393">
        <v>82372</v>
      </c>
      <c r="J393" t="s">
        <v>584</v>
      </c>
    </row>
    <row r="394" spans="1:10" hidden="1" x14ac:dyDescent="0.2">
      <c r="A394" t="s">
        <v>986</v>
      </c>
      <c r="B394" t="s">
        <v>961</v>
      </c>
      <c r="C394" t="s">
        <v>962</v>
      </c>
      <c r="D394" t="s">
        <v>987</v>
      </c>
      <c r="E394">
        <v>250529</v>
      </c>
      <c r="G394" t="s">
        <v>988</v>
      </c>
      <c r="H394" t="s">
        <v>14</v>
      </c>
      <c r="I394">
        <v>85016</v>
      </c>
      <c r="J394" t="s">
        <v>989</v>
      </c>
    </row>
    <row r="395" spans="1:10" ht="16.5" x14ac:dyDescent="0.2">
      <c r="A395" t="s">
        <v>1069</v>
      </c>
      <c r="B395" t="s">
        <v>961</v>
      </c>
      <c r="C395" t="s">
        <v>962</v>
      </c>
      <c r="D395" t="s">
        <v>987</v>
      </c>
      <c r="E395">
        <v>250529</v>
      </c>
      <c r="F395" s="7">
        <f>DATE(2000+LEFT(E395,2), MID(E395,3,2), RIGHT(E395,2))</f>
        <v>45806</v>
      </c>
      <c r="G395" t="s">
        <v>988</v>
      </c>
      <c r="H395" t="s">
        <v>6</v>
      </c>
      <c r="I395">
        <v>85016</v>
      </c>
      <c r="J395" t="s">
        <v>1070</v>
      </c>
    </row>
    <row r="396" spans="1:10" hidden="1" x14ac:dyDescent="0.2">
      <c r="A396" t="s">
        <v>749</v>
      </c>
      <c r="B396" t="s">
        <v>1557</v>
      </c>
      <c r="C396" t="s">
        <v>77</v>
      </c>
      <c r="D396" t="s">
        <v>750</v>
      </c>
      <c r="E396">
        <v>250530</v>
      </c>
      <c r="G396" t="s">
        <v>751</v>
      </c>
      <c r="H396" t="s">
        <v>14</v>
      </c>
      <c r="I396">
        <v>81520</v>
      </c>
      <c r="J396" t="s">
        <v>752</v>
      </c>
    </row>
    <row r="397" spans="1:10" ht="16.5" x14ac:dyDescent="0.2">
      <c r="A397" t="s">
        <v>779</v>
      </c>
      <c r="B397" t="s">
        <v>1557</v>
      </c>
      <c r="C397" t="s">
        <v>77</v>
      </c>
      <c r="D397" t="s">
        <v>750</v>
      </c>
      <c r="E397">
        <v>250530</v>
      </c>
      <c r="F397" s="7">
        <f>DATE(2000+LEFT(E397,2), MID(E397,3,2), RIGHT(E397,2))</f>
        <v>45807</v>
      </c>
      <c r="G397" t="s">
        <v>751</v>
      </c>
      <c r="H397" t="s">
        <v>6</v>
      </c>
      <c r="I397">
        <v>81520</v>
      </c>
      <c r="J397" t="s">
        <v>780</v>
      </c>
    </row>
    <row r="398" spans="1:10" hidden="1" x14ac:dyDescent="0.2">
      <c r="A398" t="s">
        <v>492</v>
      </c>
      <c r="B398" t="s">
        <v>493</v>
      </c>
      <c r="C398" t="s">
        <v>11</v>
      </c>
      <c r="D398" t="s">
        <v>494</v>
      </c>
      <c r="E398">
        <v>250603</v>
      </c>
      <c r="G398">
        <v>5925</v>
      </c>
      <c r="H398" t="s">
        <v>14</v>
      </c>
      <c r="I398">
        <v>82536</v>
      </c>
      <c r="J398" t="s">
        <v>495</v>
      </c>
    </row>
    <row r="399" spans="1:10" hidden="1" x14ac:dyDescent="0.2">
      <c r="A399" t="s">
        <v>496</v>
      </c>
      <c r="B399" t="s">
        <v>493</v>
      </c>
      <c r="C399" t="s">
        <v>20</v>
      </c>
      <c r="D399" t="s">
        <v>494</v>
      </c>
      <c r="E399">
        <v>250603</v>
      </c>
      <c r="G399">
        <v>5928</v>
      </c>
      <c r="H399" t="s">
        <v>14</v>
      </c>
      <c r="I399">
        <v>82536</v>
      </c>
      <c r="J399" t="s">
        <v>497</v>
      </c>
    </row>
    <row r="400" spans="1:10" hidden="1" x14ac:dyDescent="0.2">
      <c r="A400" t="s">
        <v>498</v>
      </c>
      <c r="B400" t="s">
        <v>493</v>
      </c>
      <c r="C400" t="s">
        <v>27</v>
      </c>
      <c r="D400" t="s">
        <v>494</v>
      </c>
      <c r="E400">
        <v>250603</v>
      </c>
      <c r="G400" t="s">
        <v>499</v>
      </c>
      <c r="H400" t="s">
        <v>14</v>
      </c>
      <c r="I400">
        <v>82372</v>
      </c>
      <c r="J400" t="s">
        <v>500</v>
      </c>
    </row>
    <row r="401" spans="1:10" ht="16.5" x14ac:dyDescent="0.2">
      <c r="A401" t="s">
        <v>1071</v>
      </c>
      <c r="B401" t="s">
        <v>961</v>
      </c>
      <c r="C401" t="s">
        <v>962</v>
      </c>
      <c r="D401" t="s">
        <v>1072</v>
      </c>
      <c r="E401">
        <v>250605</v>
      </c>
      <c r="F401" s="7">
        <f>DATE(2000+LEFT(E401,2), MID(E401,3,2), RIGHT(E401,2))</f>
        <v>45813</v>
      </c>
      <c r="G401" t="s">
        <v>1073</v>
      </c>
      <c r="H401" t="s">
        <v>6</v>
      </c>
      <c r="I401">
        <v>85128</v>
      </c>
      <c r="J401" t="s">
        <v>1074</v>
      </c>
    </row>
    <row r="402" spans="1:10" hidden="1" x14ac:dyDescent="0.2">
      <c r="A402" t="s">
        <v>585</v>
      </c>
      <c r="B402" t="s">
        <v>533</v>
      </c>
      <c r="C402" t="s">
        <v>11</v>
      </c>
      <c r="D402" t="s">
        <v>511</v>
      </c>
      <c r="E402">
        <v>250606</v>
      </c>
      <c r="G402" t="s">
        <v>586</v>
      </c>
      <c r="H402" t="s">
        <v>14</v>
      </c>
      <c r="I402">
        <v>82884</v>
      </c>
      <c r="J402" t="s">
        <v>587</v>
      </c>
    </row>
    <row r="403" spans="1:10" hidden="1" x14ac:dyDescent="0.2">
      <c r="A403" t="s">
        <v>588</v>
      </c>
      <c r="B403" t="s">
        <v>533</v>
      </c>
      <c r="C403" t="s">
        <v>20</v>
      </c>
      <c r="D403" t="s">
        <v>511</v>
      </c>
      <c r="E403">
        <v>250606</v>
      </c>
      <c r="G403" t="s">
        <v>589</v>
      </c>
      <c r="H403" t="s">
        <v>14</v>
      </c>
      <c r="I403">
        <v>82884</v>
      </c>
      <c r="J403" t="s">
        <v>590</v>
      </c>
    </row>
    <row r="404" spans="1:10" hidden="1" x14ac:dyDescent="0.2">
      <c r="A404" t="s">
        <v>591</v>
      </c>
      <c r="B404" t="s">
        <v>533</v>
      </c>
      <c r="C404" t="s">
        <v>27</v>
      </c>
      <c r="D404" t="s">
        <v>511</v>
      </c>
      <c r="E404">
        <v>250606</v>
      </c>
      <c r="G404" t="s">
        <v>592</v>
      </c>
      <c r="H404" t="s">
        <v>14</v>
      </c>
      <c r="I404">
        <v>82716</v>
      </c>
      <c r="J404" t="s">
        <v>593</v>
      </c>
    </row>
    <row r="405" spans="1:10" hidden="1" x14ac:dyDescent="0.2">
      <c r="A405" t="s">
        <v>501</v>
      </c>
      <c r="B405" t="s">
        <v>493</v>
      </c>
      <c r="C405" t="s">
        <v>11</v>
      </c>
      <c r="D405" t="s">
        <v>494</v>
      </c>
      <c r="E405">
        <v>250609</v>
      </c>
      <c r="G405" t="s">
        <v>502</v>
      </c>
      <c r="H405" t="s">
        <v>14</v>
      </c>
      <c r="I405">
        <v>82556</v>
      </c>
      <c r="J405" t="s">
        <v>503</v>
      </c>
    </row>
    <row r="406" spans="1:10" hidden="1" x14ac:dyDescent="0.2">
      <c r="A406" t="s">
        <v>504</v>
      </c>
      <c r="B406" t="s">
        <v>493</v>
      </c>
      <c r="C406" t="s">
        <v>20</v>
      </c>
      <c r="D406" t="s">
        <v>494</v>
      </c>
      <c r="E406">
        <v>250609</v>
      </c>
      <c r="G406" t="s">
        <v>505</v>
      </c>
      <c r="H406" t="s">
        <v>14</v>
      </c>
      <c r="I406">
        <v>82556</v>
      </c>
      <c r="J406" t="s">
        <v>506</v>
      </c>
    </row>
    <row r="407" spans="1:10" hidden="1" x14ac:dyDescent="0.2">
      <c r="A407" t="s">
        <v>507</v>
      </c>
      <c r="B407" t="s">
        <v>493</v>
      </c>
      <c r="C407" t="s">
        <v>27</v>
      </c>
      <c r="D407" t="s">
        <v>494</v>
      </c>
      <c r="E407">
        <v>250609</v>
      </c>
      <c r="G407" t="s">
        <v>508</v>
      </c>
      <c r="H407" t="s">
        <v>14</v>
      </c>
      <c r="I407">
        <v>82392</v>
      </c>
      <c r="J407" t="s">
        <v>509</v>
      </c>
    </row>
    <row r="408" spans="1:10" hidden="1" x14ac:dyDescent="0.2">
      <c r="A408" t="s">
        <v>819</v>
      </c>
      <c r="B408" t="s">
        <v>1561</v>
      </c>
      <c r="C408" t="s">
        <v>11</v>
      </c>
      <c r="D408" t="s">
        <v>820</v>
      </c>
      <c r="E408">
        <v>250616</v>
      </c>
      <c r="G408" t="s">
        <v>821</v>
      </c>
      <c r="H408" t="s">
        <v>14</v>
      </c>
      <c r="I408">
        <v>92828</v>
      </c>
      <c r="J408" t="s">
        <v>822</v>
      </c>
    </row>
    <row r="409" spans="1:10" hidden="1" x14ac:dyDescent="0.2">
      <c r="A409" t="s">
        <v>823</v>
      </c>
      <c r="B409" t="s">
        <v>1561</v>
      </c>
      <c r="C409" t="s">
        <v>144</v>
      </c>
      <c r="D409" t="s">
        <v>820</v>
      </c>
      <c r="E409">
        <v>250616</v>
      </c>
      <c r="G409">
        <v>6962</v>
      </c>
      <c r="H409" t="s">
        <v>14</v>
      </c>
      <c r="I409">
        <v>92664</v>
      </c>
      <c r="J409" t="s">
        <v>824</v>
      </c>
    </row>
    <row r="410" spans="1:10" hidden="1" x14ac:dyDescent="0.2">
      <c r="A410" t="s">
        <v>825</v>
      </c>
      <c r="B410" t="s">
        <v>1561</v>
      </c>
      <c r="C410" t="s">
        <v>20</v>
      </c>
      <c r="D410" t="s">
        <v>820</v>
      </c>
      <c r="E410">
        <v>250616</v>
      </c>
      <c r="G410">
        <v>8602</v>
      </c>
      <c r="H410" t="s">
        <v>14</v>
      </c>
      <c r="I410">
        <v>92828</v>
      </c>
      <c r="J410" t="s">
        <v>826</v>
      </c>
    </row>
    <row r="411" spans="1:10" hidden="1" x14ac:dyDescent="0.2">
      <c r="A411" t="s">
        <v>827</v>
      </c>
      <c r="B411" t="s">
        <v>1561</v>
      </c>
      <c r="C411" t="s">
        <v>27</v>
      </c>
      <c r="D411" t="s">
        <v>820</v>
      </c>
      <c r="E411">
        <v>250616</v>
      </c>
      <c r="G411" t="s">
        <v>828</v>
      </c>
      <c r="H411" t="s">
        <v>14</v>
      </c>
      <c r="I411">
        <v>92664</v>
      </c>
      <c r="J411" t="s">
        <v>829</v>
      </c>
    </row>
    <row r="412" spans="1:10" hidden="1" x14ac:dyDescent="0.2">
      <c r="A412" t="s">
        <v>1256</v>
      </c>
      <c r="B412" t="s">
        <v>1257</v>
      </c>
      <c r="C412" t="s">
        <v>11</v>
      </c>
      <c r="D412" t="s">
        <v>1258</v>
      </c>
      <c r="E412">
        <v>250616</v>
      </c>
      <c r="G412" t="s">
        <v>1259</v>
      </c>
      <c r="H412" t="s">
        <v>14</v>
      </c>
      <c r="I412">
        <v>96952</v>
      </c>
      <c r="J412" t="s">
        <v>1260</v>
      </c>
    </row>
    <row r="413" spans="1:10" hidden="1" x14ac:dyDescent="0.2">
      <c r="A413" t="s">
        <v>1261</v>
      </c>
      <c r="B413" t="s">
        <v>1257</v>
      </c>
      <c r="C413" t="s">
        <v>20</v>
      </c>
      <c r="D413" t="s">
        <v>1258</v>
      </c>
      <c r="E413">
        <v>250616</v>
      </c>
      <c r="G413" t="s">
        <v>1262</v>
      </c>
      <c r="H413" t="s">
        <v>14</v>
      </c>
      <c r="I413">
        <v>96864</v>
      </c>
      <c r="J413" t="s">
        <v>1263</v>
      </c>
    </row>
    <row r="414" spans="1:10" hidden="1" x14ac:dyDescent="0.2">
      <c r="A414" t="s">
        <v>1264</v>
      </c>
      <c r="B414" t="s">
        <v>1257</v>
      </c>
      <c r="C414" t="s">
        <v>27</v>
      </c>
      <c r="D414" t="s">
        <v>1258</v>
      </c>
      <c r="E414">
        <v>250616</v>
      </c>
      <c r="G414" t="s">
        <v>1265</v>
      </c>
      <c r="H414" t="s">
        <v>14</v>
      </c>
      <c r="I414">
        <v>96696</v>
      </c>
      <c r="J414" t="s">
        <v>1266</v>
      </c>
    </row>
    <row r="415" spans="1:10" hidden="1" x14ac:dyDescent="0.2">
      <c r="A415" t="s">
        <v>1344</v>
      </c>
      <c r="B415" t="s">
        <v>1310</v>
      </c>
      <c r="C415" t="s">
        <v>11</v>
      </c>
      <c r="D415" t="s">
        <v>1345</v>
      </c>
      <c r="E415">
        <v>250617</v>
      </c>
      <c r="G415">
        <v>5574</v>
      </c>
      <c r="H415" t="s">
        <v>14</v>
      </c>
      <c r="I415">
        <v>91148</v>
      </c>
      <c r="J415" t="s">
        <v>1346</v>
      </c>
    </row>
    <row r="416" spans="1:10" hidden="1" x14ac:dyDescent="0.2">
      <c r="A416" t="s">
        <v>1347</v>
      </c>
      <c r="B416" t="s">
        <v>1310</v>
      </c>
      <c r="C416" t="s">
        <v>144</v>
      </c>
      <c r="D416" t="s">
        <v>1345</v>
      </c>
      <c r="E416">
        <v>250617</v>
      </c>
      <c r="G416">
        <v>2196</v>
      </c>
      <c r="H416" t="s">
        <v>14</v>
      </c>
      <c r="I416">
        <v>90976</v>
      </c>
      <c r="J416" t="s">
        <v>1348</v>
      </c>
    </row>
    <row r="417" spans="1:10" hidden="1" x14ac:dyDescent="0.2">
      <c r="A417" t="s">
        <v>1349</v>
      </c>
      <c r="B417" t="s">
        <v>1310</v>
      </c>
      <c r="C417" t="s">
        <v>20</v>
      </c>
      <c r="D417" t="s">
        <v>1345</v>
      </c>
      <c r="E417">
        <v>250617</v>
      </c>
      <c r="G417" t="s">
        <v>1350</v>
      </c>
      <c r="H417" t="s">
        <v>14</v>
      </c>
      <c r="I417">
        <v>91148</v>
      </c>
      <c r="J417" t="s">
        <v>1351</v>
      </c>
    </row>
    <row r="418" spans="1:10" hidden="1" x14ac:dyDescent="0.2">
      <c r="A418" t="s">
        <v>1352</v>
      </c>
      <c r="B418" t="s">
        <v>1310</v>
      </c>
      <c r="C418" t="s">
        <v>27</v>
      </c>
      <c r="D418" t="s">
        <v>1345</v>
      </c>
      <c r="E418">
        <v>250617</v>
      </c>
      <c r="G418" t="s">
        <v>1353</v>
      </c>
      <c r="H418" t="s">
        <v>14</v>
      </c>
      <c r="I418">
        <v>90980</v>
      </c>
      <c r="J418" t="s">
        <v>1354</v>
      </c>
    </row>
    <row r="419" spans="1:10" hidden="1" x14ac:dyDescent="0.2">
      <c r="A419" t="s">
        <v>1355</v>
      </c>
      <c r="B419" t="s">
        <v>1310</v>
      </c>
      <c r="C419" t="s">
        <v>11</v>
      </c>
      <c r="D419" t="s">
        <v>1345</v>
      </c>
      <c r="E419">
        <v>250618</v>
      </c>
      <c r="G419">
        <v>5520</v>
      </c>
      <c r="H419" t="s">
        <v>14</v>
      </c>
      <c r="I419">
        <v>91168</v>
      </c>
      <c r="J419" t="s">
        <v>1356</v>
      </c>
    </row>
    <row r="420" spans="1:10" hidden="1" x14ac:dyDescent="0.2">
      <c r="A420" t="s">
        <v>1357</v>
      </c>
      <c r="B420" t="s">
        <v>1310</v>
      </c>
      <c r="C420" t="s">
        <v>144</v>
      </c>
      <c r="D420" t="s">
        <v>1345</v>
      </c>
      <c r="E420">
        <v>250618</v>
      </c>
      <c r="G420" t="s">
        <v>1358</v>
      </c>
      <c r="H420" t="s">
        <v>14</v>
      </c>
      <c r="I420">
        <v>91000</v>
      </c>
      <c r="J420" t="s">
        <v>1359</v>
      </c>
    </row>
    <row r="421" spans="1:10" hidden="1" x14ac:dyDescent="0.2">
      <c r="A421" t="s">
        <v>1360</v>
      </c>
      <c r="B421" t="s">
        <v>1310</v>
      </c>
      <c r="C421" t="s">
        <v>20</v>
      </c>
      <c r="D421" t="s">
        <v>1345</v>
      </c>
      <c r="E421">
        <v>250618</v>
      </c>
      <c r="G421">
        <v>5559</v>
      </c>
      <c r="H421" t="s">
        <v>14</v>
      </c>
      <c r="I421">
        <v>91168</v>
      </c>
      <c r="J421" t="s">
        <v>1361</v>
      </c>
    </row>
    <row r="422" spans="1:10" hidden="1" x14ac:dyDescent="0.2">
      <c r="A422" t="s">
        <v>1362</v>
      </c>
      <c r="B422" t="s">
        <v>1310</v>
      </c>
      <c r="C422" t="s">
        <v>27</v>
      </c>
      <c r="D422" t="s">
        <v>1345</v>
      </c>
      <c r="E422">
        <v>250618</v>
      </c>
      <c r="G422" t="s">
        <v>1363</v>
      </c>
      <c r="H422" t="s">
        <v>14</v>
      </c>
      <c r="I422">
        <v>91000</v>
      </c>
      <c r="J422" t="s">
        <v>1364</v>
      </c>
    </row>
    <row r="423" spans="1:10" hidden="1" x14ac:dyDescent="0.2">
      <c r="A423" t="s">
        <v>1267</v>
      </c>
      <c r="B423" t="s">
        <v>1257</v>
      </c>
      <c r="C423" t="s">
        <v>11</v>
      </c>
      <c r="D423" t="s">
        <v>1258</v>
      </c>
      <c r="E423">
        <v>250619</v>
      </c>
      <c r="G423" t="s">
        <v>1268</v>
      </c>
      <c r="H423" t="s">
        <v>14</v>
      </c>
      <c r="I423">
        <v>96688</v>
      </c>
      <c r="J423" t="s">
        <v>1269</v>
      </c>
    </row>
    <row r="424" spans="1:10" hidden="1" x14ac:dyDescent="0.2">
      <c r="A424" t="s">
        <v>1270</v>
      </c>
      <c r="B424" t="s">
        <v>1257</v>
      </c>
      <c r="C424" t="s">
        <v>20</v>
      </c>
      <c r="D424" t="s">
        <v>1258</v>
      </c>
      <c r="E424">
        <v>250619</v>
      </c>
      <c r="G424" t="s">
        <v>1271</v>
      </c>
      <c r="H424" t="s">
        <v>14</v>
      </c>
      <c r="I424">
        <v>96600</v>
      </c>
      <c r="J424" t="s">
        <v>1272</v>
      </c>
    </row>
    <row r="425" spans="1:10" hidden="1" x14ac:dyDescent="0.2">
      <c r="A425" t="s">
        <v>1273</v>
      </c>
      <c r="B425" t="s">
        <v>1257</v>
      </c>
      <c r="C425" t="s">
        <v>27</v>
      </c>
      <c r="D425" t="s">
        <v>1258</v>
      </c>
      <c r="E425">
        <v>250619</v>
      </c>
      <c r="G425" t="s">
        <v>1274</v>
      </c>
      <c r="H425" t="s">
        <v>14</v>
      </c>
      <c r="I425">
        <v>96428</v>
      </c>
      <c r="J425" t="s">
        <v>1275</v>
      </c>
    </row>
    <row r="426" spans="1:10" hidden="1" x14ac:dyDescent="0.2">
      <c r="A426" t="s">
        <v>1521</v>
      </c>
      <c r="B426" t="s">
        <v>1472</v>
      </c>
      <c r="C426" t="s">
        <v>11</v>
      </c>
      <c r="D426" t="s">
        <v>338</v>
      </c>
      <c r="E426">
        <v>250619</v>
      </c>
      <c r="G426" t="s">
        <v>1522</v>
      </c>
      <c r="H426" t="s">
        <v>14</v>
      </c>
      <c r="I426">
        <v>88788</v>
      </c>
      <c r="J426" t="s">
        <v>1523</v>
      </c>
    </row>
    <row r="427" spans="1:10" hidden="1" x14ac:dyDescent="0.2">
      <c r="A427" t="s">
        <v>1524</v>
      </c>
      <c r="B427" t="s">
        <v>1472</v>
      </c>
      <c r="C427" t="s">
        <v>20</v>
      </c>
      <c r="D427" t="s">
        <v>338</v>
      </c>
      <c r="E427">
        <v>250619</v>
      </c>
      <c r="G427" t="s">
        <v>1525</v>
      </c>
      <c r="H427" t="s">
        <v>14</v>
      </c>
      <c r="I427">
        <v>88788</v>
      </c>
      <c r="J427" t="s">
        <v>1526</v>
      </c>
    </row>
    <row r="428" spans="1:10" hidden="1" x14ac:dyDescent="0.2">
      <c r="A428" t="s">
        <v>1527</v>
      </c>
      <c r="B428" t="s">
        <v>1472</v>
      </c>
      <c r="C428" t="s">
        <v>27</v>
      </c>
      <c r="D428" t="s">
        <v>338</v>
      </c>
      <c r="E428">
        <v>250619</v>
      </c>
      <c r="G428" t="s">
        <v>1528</v>
      </c>
      <c r="H428" t="s">
        <v>14</v>
      </c>
      <c r="I428">
        <v>88624</v>
      </c>
      <c r="J428" t="s">
        <v>1529</v>
      </c>
    </row>
    <row r="429" spans="1:10" hidden="1" x14ac:dyDescent="0.2">
      <c r="A429" t="s">
        <v>63</v>
      </c>
      <c r="B429" t="s">
        <v>10</v>
      </c>
      <c r="C429" t="s">
        <v>11</v>
      </c>
      <c r="D429" t="s">
        <v>64</v>
      </c>
      <c r="E429">
        <v>250623</v>
      </c>
      <c r="G429" t="s">
        <v>65</v>
      </c>
      <c r="H429" t="s">
        <v>14</v>
      </c>
      <c r="I429">
        <v>65880</v>
      </c>
      <c r="J429" t="s">
        <v>66</v>
      </c>
    </row>
    <row r="430" spans="1:10" hidden="1" x14ac:dyDescent="0.2">
      <c r="A430" t="s">
        <v>67</v>
      </c>
      <c r="B430" t="s">
        <v>10</v>
      </c>
      <c r="C430" t="s">
        <v>20</v>
      </c>
      <c r="D430" t="s">
        <v>64</v>
      </c>
      <c r="E430">
        <v>250623</v>
      </c>
      <c r="G430" t="s">
        <v>68</v>
      </c>
      <c r="H430" t="s">
        <v>14</v>
      </c>
      <c r="I430">
        <v>65880</v>
      </c>
      <c r="J430" t="s">
        <v>69</v>
      </c>
    </row>
    <row r="431" spans="1:10" hidden="1" x14ac:dyDescent="0.2">
      <c r="A431" t="s">
        <v>70</v>
      </c>
      <c r="B431" t="s">
        <v>10</v>
      </c>
      <c r="C431" t="s">
        <v>27</v>
      </c>
      <c r="D431" t="s">
        <v>64</v>
      </c>
      <c r="E431">
        <v>250623</v>
      </c>
      <c r="G431" t="s">
        <v>71</v>
      </c>
      <c r="H431" t="s">
        <v>14</v>
      </c>
      <c r="I431">
        <v>65880</v>
      </c>
      <c r="J431" t="s">
        <v>72</v>
      </c>
    </row>
    <row r="432" spans="1:10" hidden="1" x14ac:dyDescent="0.2">
      <c r="A432" t="s">
        <v>63</v>
      </c>
      <c r="B432" t="s">
        <v>10</v>
      </c>
      <c r="C432" t="s">
        <v>11</v>
      </c>
      <c r="D432" t="s">
        <v>64</v>
      </c>
      <c r="E432">
        <v>250623</v>
      </c>
      <c r="G432" t="s">
        <v>65</v>
      </c>
      <c r="H432" t="s">
        <v>14</v>
      </c>
      <c r="I432">
        <v>65880</v>
      </c>
      <c r="J432" t="s">
        <v>73</v>
      </c>
    </row>
    <row r="433" spans="1:10" hidden="1" x14ac:dyDescent="0.2">
      <c r="A433" t="s">
        <v>67</v>
      </c>
      <c r="B433" t="s">
        <v>10</v>
      </c>
      <c r="C433" t="s">
        <v>20</v>
      </c>
      <c r="D433" t="s">
        <v>64</v>
      </c>
      <c r="E433">
        <v>250623</v>
      </c>
      <c r="G433" t="s">
        <v>68</v>
      </c>
      <c r="H433" t="s">
        <v>14</v>
      </c>
      <c r="I433">
        <v>65880</v>
      </c>
      <c r="J433" t="s">
        <v>74</v>
      </c>
    </row>
    <row r="434" spans="1:10" hidden="1" x14ac:dyDescent="0.2">
      <c r="A434" t="s">
        <v>70</v>
      </c>
      <c r="B434" t="s">
        <v>10</v>
      </c>
      <c r="C434" t="s">
        <v>27</v>
      </c>
      <c r="D434" t="s">
        <v>64</v>
      </c>
      <c r="E434">
        <v>250623</v>
      </c>
      <c r="G434" t="s">
        <v>71</v>
      </c>
      <c r="H434" t="s">
        <v>14</v>
      </c>
      <c r="I434">
        <v>65880</v>
      </c>
      <c r="J434" t="s">
        <v>75</v>
      </c>
    </row>
    <row r="435" spans="1:10" ht="16.5" x14ac:dyDescent="0.2">
      <c r="A435" t="s">
        <v>103</v>
      </c>
      <c r="B435" t="s">
        <v>10</v>
      </c>
      <c r="C435" t="s">
        <v>11</v>
      </c>
      <c r="D435" t="s">
        <v>64</v>
      </c>
      <c r="E435">
        <v>250623</v>
      </c>
      <c r="F435" s="7">
        <f>DATE(2000+LEFT(E435,2), MID(E435,3,2), RIGHT(E435,2))</f>
        <v>45831</v>
      </c>
      <c r="G435" t="s">
        <v>65</v>
      </c>
      <c r="H435" t="s">
        <v>6</v>
      </c>
      <c r="I435">
        <v>65880</v>
      </c>
      <c r="J435" t="s">
        <v>104</v>
      </c>
    </row>
    <row r="436" spans="1:10" ht="16.5" x14ac:dyDescent="0.2">
      <c r="A436" t="s">
        <v>105</v>
      </c>
      <c r="B436" t="s">
        <v>10</v>
      </c>
      <c r="C436" t="s">
        <v>20</v>
      </c>
      <c r="D436" t="s">
        <v>64</v>
      </c>
      <c r="E436">
        <v>250623</v>
      </c>
      <c r="F436" s="7">
        <f>DATE(2000+LEFT(E436,2), MID(E436,3,2), RIGHT(E436,2))</f>
        <v>45831</v>
      </c>
      <c r="G436" t="s">
        <v>68</v>
      </c>
      <c r="H436" t="s">
        <v>6</v>
      </c>
      <c r="I436">
        <v>65880</v>
      </c>
      <c r="J436" t="s">
        <v>106</v>
      </c>
    </row>
    <row r="437" spans="1:10" ht="16.5" x14ac:dyDescent="0.2">
      <c r="A437" t="s">
        <v>107</v>
      </c>
      <c r="B437" t="s">
        <v>10</v>
      </c>
      <c r="C437" t="s">
        <v>27</v>
      </c>
      <c r="D437" t="s">
        <v>64</v>
      </c>
      <c r="E437">
        <v>250623</v>
      </c>
      <c r="F437" s="7">
        <f>DATE(2000+LEFT(E437,2), MID(E437,3,2), RIGHT(E437,2))</f>
        <v>45831</v>
      </c>
      <c r="G437" t="s">
        <v>71</v>
      </c>
      <c r="H437" t="s">
        <v>6</v>
      </c>
      <c r="I437">
        <v>65880</v>
      </c>
      <c r="J437" t="s">
        <v>108</v>
      </c>
    </row>
    <row r="438" spans="1:10" hidden="1" x14ac:dyDescent="0.2">
      <c r="A438" t="s">
        <v>1276</v>
      </c>
      <c r="B438" t="s">
        <v>1257</v>
      </c>
      <c r="C438" t="s">
        <v>11</v>
      </c>
      <c r="D438" t="s">
        <v>1277</v>
      </c>
      <c r="E438">
        <v>250624</v>
      </c>
      <c r="G438" t="s">
        <v>1278</v>
      </c>
      <c r="H438" t="s">
        <v>14</v>
      </c>
      <c r="I438">
        <v>97304</v>
      </c>
      <c r="J438" t="s">
        <v>1279</v>
      </c>
    </row>
    <row r="439" spans="1:10" hidden="1" x14ac:dyDescent="0.2">
      <c r="A439" t="s">
        <v>1280</v>
      </c>
      <c r="B439" t="s">
        <v>1257</v>
      </c>
      <c r="C439" t="s">
        <v>20</v>
      </c>
      <c r="D439" t="s">
        <v>1277</v>
      </c>
      <c r="E439">
        <v>250624</v>
      </c>
      <c r="G439" t="s">
        <v>1281</v>
      </c>
      <c r="H439" t="s">
        <v>14</v>
      </c>
      <c r="I439">
        <v>97216</v>
      </c>
      <c r="J439" t="s">
        <v>1282</v>
      </c>
    </row>
    <row r="440" spans="1:10" hidden="1" x14ac:dyDescent="0.2">
      <c r="A440" t="s">
        <v>1283</v>
      </c>
      <c r="B440" t="s">
        <v>1257</v>
      </c>
      <c r="C440" t="s">
        <v>27</v>
      </c>
      <c r="D440" t="s">
        <v>1277</v>
      </c>
      <c r="E440">
        <v>250624</v>
      </c>
      <c r="G440" t="s">
        <v>1284</v>
      </c>
      <c r="H440" t="s">
        <v>14</v>
      </c>
      <c r="I440">
        <v>97044</v>
      </c>
      <c r="J440" t="s">
        <v>1285</v>
      </c>
    </row>
    <row r="441" spans="1:10" hidden="1" x14ac:dyDescent="0.2">
      <c r="A441" t="s">
        <v>1484</v>
      </c>
      <c r="B441" t="s">
        <v>1472</v>
      </c>
      <c r="C441" t="s">
        <v>27</v>
      </c>
      <c r="D441" t="s">
        <v>338</v>
      </c>
      <c r="E441">
        <v>250624</v>
      </c>
      <c r="G441" t="s">
        <v>1485</v>
      </c>
      <c r="H441" t="s">
        <v>14</v>
      </c>
      <c r="I441">
        <v>88628</v>
      </c>
      <c r="J441" t="s">
        <v>1486</v>
      </c>
    </row>
    <row r="442" spans="1:10" hidden="1" x14ac:dyDescent="0.2">
      <c r="A442" t="s">
        <v>830</v>
      </c>
      <c r="B442" t="s">
        <v>1561</v>
      </c>
      <c r="C442" t="s">
        <v>11</v>
      </c>
      <c r="D442" t="s">
        <v>831</v>
      </c>
      <c r="E442">
        <v>250626</v>
      </c>
      <c r="G442" t="s">
        <v>832</v>
      </c>
      <c r="H442" t="s">
        <v>14</v>
      </c>
      <c r="I442">
        <v>92784</v>
      </c>
      <c r="J442" t="s">
        <v>833</v>
      </c>
    </row>
    <row r="443" spans="1:10" hidden="1" x14ac:dyDescent="0.2">
      <c r="A443" t="s">
        <v>834</v>
      </c>
      <c r="B443" t="s">
        <v>1561</v>
      </c>
      <c r="C443" t="s">
        <v>144</v>
      </c>
      <c r="D443" t="s">
        <v>831</v>
      </c>
      <c r="E443">
        <v>250626</v>
      </c>
      <c r="G443">
        <v>5081</v>
      </c>
      <c r="H443" t="s">
        <v>14</v>
      </c>
      <c r="I443">
        <v>92616</v>
      </c>
      <c r="J443" t="s">
        <v>835</v>
      </c>
    </row>
    <row r="444" spans="1:10" hidden="1" x14ac:dyDescent="0.2">
      <c r="A444" t="s">
        <v>836</v>
      </c>
      <c r="B444" t="s">
        <v>1561</v>
      </c>
      <c r="C444" t="s">
        <v>20</v>
      </c>
      <c r="D444" t="s">
        <v>831</v>
      </c>
      <c r="E444">
        <v>250626</v>
      </c>
      <c r="G444" t="s">
        <v>837</v>
      </c>
      <c r="H444" t="s">
        <v>14</v>
      </c>
      <c r="I444">
        <v>92784</v>
      </c>
      <c r="J444" t="s">
        <v>838</v>
      </c>
    </row>
    <row r="445" spans="1:10" hidden="1" x14ac:dyDescent="0.2">
      <c r="A445" t="s">
        <v>839</v>
      </c>
      <c r="B445" t="s">
        <v>1561</v>
      </c>
      <c r="C445" t="s">
        <v>27</v>
      </c>
      <c r="D445" t="s">
        <v>831</v>
      </c>
      <c r="E445">
        <v>250626</v>
      </c>
      <c r="G445" t="s">
        <v>840</v>
      </c>
      <c r="H445" t="s">
        <v>14</v>
      </c>
      <c r="I445">
        <v>92616</v>
      </c>
      <c r="J445" t="s">
        <v>841</v>
      </c>
    </row>
    <row r="446" spans="1:10" hidden="1" x14ac:dyDescent="0.2">
      <c r="A446" t="s">
        <v>1530</v>
      </c>
      <c r="B446" t="s">
        <v>1472</v>
      </c>
      <c r="C446" t="s">
        <v>11</v>
      </c>
      <c r="D446" t="s">
        <v>820</v>
      </c>
      <c r="E446">
        <v>250627</v>
      </c>
      <c r="G446" t="s">
        <v>1531</v>
      </c>
      <c r="H446" t="s">
        <v>14</v>
      </c>
      <c r="I446">
        <v>88928</v>
      </c>
      <c r="J446" t="s">
        <v>1532</v>
      </c>
    </row>
    <row r="447" spans="1:10" hidden="1" x14ac:dyDescent="0.2">
      <c r="A447" t="s">
        <v>1533</v>
      </c>
      <c r="B447" t="s">
        <v>1472</v>
      </c>
      <c r="C447" t="s">
        <v>20</v>
      </c>
      <c r="D447" t="s">
        <v>820</v>
      </c>
      <c r="E447">
        <v>250627</v>
      </c>
      <c r="G447" t="s">
        <v>1534</v>
      </c>
      <c r="H447" t="s">
        <v>14</v>
      </c>
      <c r="I447">
        <v>88928</v>
      </c>
      <c r="J447" t="s">
        <v>1535</v>
      </c>
    </row>
    <row r="448" spans="1:10" hidden="1" x14ac:dyDescent="0.2">
      <c r="A448" t="s">
        <v>1536</v>
      </c>
      <c r="B448" t="s">
        <v>1472</v>
      </c>
      <c r="C448" t="s">
        <v>27</v>
      </c>
      <c r="D448" t="s">
        <v>820</v>
      </c>
      <c r="E448">
        <v>250627</v>
      </c>
      <c r="G448">
        <v>3846</v>
      </c>
      <c r="H448" t="s">
        <v>14</v>
      </c>
      <c r="I448">
        <v>88920</v>
      </c>
      <c r="J448" t="s">
        <v>1537</v>
      </c>
    </row>
    <row r="449" spans="1:10" hidden="1" x14ac:dyDescent="0.2">
      <c r="A449" t="s">
        <v>1365</v>
      </c>
      <c r="B449" t="s">
        <v>1310</v>
      </c>
      <c r="C449" t="s">
        <v>11</v>
      </c>
      <c r="D449" t="s">
        <v>1366</v>
      </c>
      <c r="E449">
        <v>250630</v>
      </c>
      <c r="G449" t="s">
        <v>1367</v>
      </c>
      <c r="H449" t="s">
        <v>14</v>
      </c>
      <c r="I449">
        <v>91168</v>
      </c>
      <c r="J449" t="s">
        <v>1368</v>
      </c>
    </row>
    <row r="450" spans="1:10" hidden="1" x14ac:dyDescent="0.2">
      <c r="A450" t="s">
        <v>1369</v>
      </c>
      <c r="B450" t="s">
        <v>1310</v>
      </c>
      <c r="C450" t="s">
        <v>144</v>
      </c>
      <c r="D450" t="s">
        <v>1366</v>
      </c>
      <c r="E450">
        <v>250630</v>
      </c>
      <c r="G450" t="s">
        <v>1370</v>
      </c>
      <c r="H450" t="s">
        <v>14</v>
      </c>
      <c r="I450">
        <v>91000</v>
      </c>
      <c r="J450" t="s">
        <v>1371</v>
      </c>
    </row>
    <row r="451" spans="1:10" hidden="1" x14ac:dyDescent="0.2">
      <c r="A451" t="s">
        <v>1372</v>
      </c>
      <c r="B451" t="s">
        <v>1310</v>
      </c>
      <c r="C451" t="s">
        <v>20</v>
      </c>
      <c r="D451" t="s">
        <v>1366</v>
      </c>
      <c r="E451">
        <v>250630</v>
      </c>
      <c r="G451">
        <v>5676</v>
      </c>
      <c r="H451" t="s">
        <v>14</v>
      </c>
      <c r="I451">
        <v>91168</v>
      </c>
      <c r="J451" t="s">
        <v>1373</v>
      </c>
    </row>
    <row r="452" spans="1:10" hidden="1" x14ac:dyDescent="0.2">
      <c r="A452" t="s">
        <v>1374</v>
      </c>
      <c r="B452" t="s">
        <v>1310</v>
      </c>
      <c r="C452" t="s">
        <v>27</v>
      </c>
      <c r="D452" t="s">
        <v>1366</v>
      </c>
      <c r="E452">
        <v>250630</v>
      </c>
      <c r="G452" t="s">
        <v>1375</v>
      </c>
      <c r="H452" t="s">
        <v>14</v>
      </c>
      <c r="I452">
        <v>91000</v>
      </c>
      <c r="J452" t="s">
        <v>1376</v>
      </c>
    </row>
    <row r="453" spans="1:10" hidden="1" x14ac:dyDescent="0.2">
      <c r="A453" t="s">
        <v>842</v>
      </c>
      <c r="B453" t="s">
        <v>1561</v>
      </c>
      <c r="C453" t="s">
        <v>11</v>
      </c>
      <c r="D453" t="s">
        <v>843</v>
      </c>
      <c r="E453">
        <v>250702</v>
      </c>
      <c r="G453" t="s">
        <v>844</v>
      </c>
      <c r="H453" t="s">
        <v>14</v>
      </c>
      <c r="I453">
        <v>92828</v>
      </c>
      <c r="J453" t="s">
        <v>845</v>
      </c>
    </row>
    <row r="454" spans="1:10" hidden="1" x14ac:dyDescent="0.2">
      <c r="A454" t="s">
        <v>846</v>
      </c>
      <c r="B454" t="s">
        <v>1561</v>
      </c>
      <c r="C454" t="s">
        <v>144</v>
      </c>
      <c r="D454" t="s">
        <v>843</v>
      </c>
      <c r="E454">
        <v>250702</v>
      </c>
      <c r="G454" t="s">
        <v>847</v>
      </c>
      <c r="H454" t="s">
        <v>14</v>
      </c>
      <c r="I454">
        <v>92664</v>
      </c>
      <c r="J454" t="s">
        <v>848</v>
      </c>
    </row>
    <row r="455" spans="1:10" hidden="1" x14ac:dyDescent="0.2">
      <c r="A455" t="s">
        <v>849</v>
      </c>
      <c r="B455" t="s">
        <v>1561</v>
      </c>
      <c r="C455" t="s">
        <v>20</v>
      </c>
      <c r="D455" t="s">
        <v>843</v>
      </c>
      <c r="E455">
        <v>250702</v>
      </c>
      <c r="G455" t="s">
        <v>850</v>
      </c>
      <c r="H455" t="s">
        <v>14</v>
      </c>
      <c r="I455">
        <v>92828</v>
      </c>
      <c r="J455" t="s">
        <v>851</v>
      </c>
    </row>
    <row r="456" spans="1:10" hidden="1" x14ac:dyDescent="0.2">
      <c r="A456" t="s">
        <v>852</v>
      </c>
      <c r="B456" t="s">
        <v>1561</v>
      </c>
      <c r="C456" t="s">
        <v>27</v>
      </c>
      <c r="D456" t="s">
        <v>843</v>
      </c>
      <c r="E456">
        <v>250702</v>
      </c>
      <c r="G456" t="s">
        <v>853</v>
      </c>
      <c r="H456" t="s">
        <v>14</v>
      </c>
      <c r="I456">
        <v>92664</v>
      </c>
      <c r="J456" t="s">
        <v>854</v>
      </c>
    </row>
    <row r="457" spans="1:10" hidden="1" x14ac:dyDescent="0.2">
      <c r="A457" t="s">
        <v>143</v>
      </c>
      <c r="B457" t="s">
        <v>134</v>
      </c>
      <c r="C457" t="s">
        <v>144</v>
      </c>
      <c r="D457" t="s">
        <v>145</v>
      </c>
      <c r="E457">
        <v>250703</v>
      </c>
      <c r="G457" t="s">
        <v>146</v>
      </c>
      <c r="H457" t="s">
        <v>14</v>
      </c>
      <c r="I457">
        <v>83528</v>
      </c>
      <c r="J457" t="s">
        <v>147</v>
      </c>
    </row>
    <row r="458" spans="1:10" hidden="1" x14ac:dyDescent="0.2">
      <c r="A458" t="s">
        <v>1286</v>
      </c>
      <c r="B458" t="s">
        <v>1257</v>
      </c>
      <c r="C458" t="s">
        <v>11</v>
      </c>
      <c r="D458" t="s">
        <v>1287</v>
      </c>
      <c r="E458">
        <v>250704</v>
      </c>
      <c r="G458">
        <v>5905</v>
      </c>
      <c r="H458" t="s">
        <v>14</v>
      </c>
      <c r="I458">
        <v>97624</v>
      </c>
      <c r="J458" t="s">
        <v>1288</v>
      </c>
    </row>
    <row r="459" spans="1:10" hidden="1" x14ac:dyDescent="0.2">
      <c r="A459" t="s">
        <v>1289</v>
      </c>
      <c r="B459" t="s">
        <v>1257</v>
      </c>
      <c r="C459" t="s">
        <v>20</v>
      </c>
      <c r="D459" t="s">
        <v>1287</v>
      </c>
      <c r="E459">
        <v>250704</v>
      </c>
      <c r="G459" t="s">
        <v>1290</v>
      </c>
      <c r="H459" t="s">
        <v>14</v>
      </c>
      <c r="I459">
        <v>97536</v>
      </c>
      <c r="J459" t="s">
        <v>1291</v>
      </c>
    </row>
    <row r="460" spans="1:10" hidden="1" x14ac:dyDescent="0.2">
      <c r="A460" t="s">
        <v>1292</v>
      </c>
      <c r="B460" t="s">
        <v>1257</v>
      </c>
      <c r="C460" t="s">
        <v>27</v>
      </c>
      <c r="D460" t="s">
        <v>1287</v>
      </c>
      <c r="E460">
        <v>250704</v>
      </c>
      <c r="G460" t="s">
        <v>1293</v>
      </c>
      <c r="H460" t="s">
        <v>14</v>
      </c>
      <c r="I460">
        <v>97368</v>
      </c>
      <c r="J460" t="s">
        <v>1294</v>
      </c>
    </row>
    <row r="461" spans="1:10" ht="16.5" x14ac:dyDescent="0.2">
      <c r="A461" t="s">
        <v>867</v>
      </c>
      <c r="B461" t="s">
        <v>1561</v>
      </c>
      <c r="C461" t="s">
        <v>11</v>
      </c>
      <c r="D461" t="s">
        <v>692</v>
      </c>
      <c r="E461">
        <v>250708</v>
      </c>
      <c r="F461" s="7">
        <f>DATE(2000+LEFT(E461,2), MID(E461,3,2), RIGHT(E461,2))</f>
        <v>45846</v>
      </c>
      <c r="G461">
        <v>9511</v>
      </c>
      <c r="H461" t="s">
        <v>6</v>
      </c>
      <c r="I461">
        <v>92828</v>
      </c>
      <c r="J461" t="s">
        <v>868</v>
      </c>
    </row>
    <row r="462" spans="1:10" ht="16.5" x14ac:dyDescent="0.2">
      <c r="A462" t="s">
        <v>869</v>
      </c>
      <c r="B462" t="s">
        <v>1561</v>
      </c>
      <c r="C462" t="s">
        <v>144</v>
      </c>
      <c r="D462" t="s">
        <v>692</v>
      </c>
      <c r="E462">
        <v>250708</v>
      </c>
      <c r="F462" s="7">
        <f>DATE(2000+LEFT(E462,2), MID(E462,3,2), RIGHT(E462,2))</f>
        <v>45846</v>
      </c>
      <c r="G462" t="s">
        <v>870</v>
      </c>
      <c r="H462" t="s">
        <v>6</v>
      </c>
      <c r="I462">
        <v>92664</v>
      </c>
      <c r="J462" t="s">
        <v>871</v>
      </c>
    </row>
    <row r="463" spans="1:10" ht="16.5" x14ac:dyDescent="0.2">
      <c r="A463" t="s">
        <v>872</v>
      </c>
      <c r="B463" t="s">
        <v>1561</v>
      </c>
      <c r="C463" t="s">
        <v>20</v>
      </c>
      <c r="D463" t="s">
        <v>692</v>
      </c>
      <c r="E463">
        <v>250708</v>
      </c>
      <c r="F463" s="7">
        <f>DATE(2000+LEFT(E463,2), MID(E463,3,2), RIGHT(E463,2))</f>
        <v>45846</v>
      </c>
      <c r="G463">
        <v>9517</v>
      </c>
      <c r="H463" t="s">
        <v>6</v>
      </c>
      <c r="I463">
        <v>92828</v>
      </c>
      <c r="J463" t="s">
        <v>873</v>
      </c>
    </row>
    <row r="464" spans="1:10" ht="16.5" x14ac:dyDescent="0.2">
      <c r="A464" t="s">
        <v>874</v>
      </c>
      <c r="B464" t="s">
        <v>1561</v>
      </c>
      <c r="C464" t="s">
        <v>27</v>
      </c>
      <c r="D464" t="s">
        <v>692</v>
      </c>
      <c r="E464">
        <v>250708</v>
      </c>
      <c r="F464" s="7">
        <f>DATE(2000+LEFT(E464,2), MID(E464,3,2), RIGHT(E464,2))</f>
        <v>45846</v>
      </c>
      <c r="G464" t="s">
        <v>875</v>
      </c>
      <c r="H464" t="s">
        <v>6</v>
      </c>
      <c r="I464">
        <v>92664</v>
      </c>
      <c r="J464" t="s">
        <v>876</v>
      </c>
    </row>
    <row r="465" spans="1:10" hidden="1" x14ac:dyDescent="0.2">
      <c r="A465" t="s">
        <v>1295</v>
      </c>
      <c r="B465" t="s">
        <v>1257</v>
      </c>
      <c r="C465" t="s">
        <v>11</v>
      </c>
      <c r="D465" t="s">
        <v>1287</v>
      </c>
      <c r="E465">
        <v>250708</v>
      </c>
      <c r="G465" t="s">
        <v>1296</v>
      </c>
      <c r="H465" t="s">
        <v>14</v>
      </c>
      <c r="I465">
        <v>97624</v>
      </c>
      <c r="J465" t="s">
        <v>1297</v>
      </c>
    </row>
    <row r="466" spans="1:10" hidden="1" x14ac:dyDescent="0.2">
      <c r="A466" t="s">
        <v>1298</v>
      </c>
      <c r="B466" t="s">
        <v>1257</v>
      </c>
      <c r="C466" t="s">
        <v>20</v>
      </c>
      <c r="D466" t="s">
        <v>1287</v>
      </c>
      <c r="E466">
        <v>250708</v>
      </c>
      <c r="G466">
        <v>3015</v>
      </c>
      <c r="H466" t="s">
        <v>14</v>
      </c>
      <c r="I466">
        <v>97536</v>
      </c>
      <c r="J466" t="s">
        <v>1299</v>
      </c>
    </row>
    <row r="467" spans="1:10" hidden="1" x14ac:dyDescent="0.2">
      <c r="A467" t="s">
        <v>1300</v>
      </c>
      <c r="B467" t="s">
        <v>1257</v>
      </c>
      <c r="C467" t="s">
        <v>27</v>
      </c>
      <c r="D467" t="s">
        <v>1287</v>
      </c>
      <c r="E467">
        <v>250708</v>
      </c>
      <c r="G467" t="s">
        <v>1301</v>
      </c>
      <c r="H467" t="s">
        <v>14</v>
      </c>
      <c r="I467">
        <v>97368</v>
      </c>
      <c r="J467" t="s">
        <v>1302</v>
      </c>
    </row>
    <row r="468" spans="1:10" ht="16.5" x14ac:dyDescent="0.2">
      <c r="A468" t="s">
        <v>877</v>
      </c>
      <c r="B468" t="s">
        <v>1561</v>
      </c>
      <c r="C468" t="s">
        <v>11</v>
      </c>
      <c r="D468" t="s">
        <v>878</v>
      </c>
      <c r="E468">
        <v>250709</v>
      </c>
      <c r="F468" s="7">
        <f>DATE(2000+LEFT(E468,2), MID(E468,3,2), RIGHT(E468,2))</f>
        <v>45847</v>
      </c>
      <c r="G468" t="s">
        <v>879</v>
      </c>
      <c r="H468" t="s">
        <v>6</v>
      </c>
      <c r="I468">
        <v>93164</v>
      </c>
      <c r="J468" t="s">
        <v>880</v>
      </c>
    </row>
    <row r="469" spans="1:10" ht="16.5" x14ac:dyDescent="0.2">
      <c r="A469" t="s">
        <v>881</v>
      </c>
      <c r="B469" t="s">
        <v>1561</v>
      </c>
      <c r="C469" t="s">
        <v>144</v>
      </c>
      <c r="D469" t="s">
        <v>878</v>
      </c>
      <c r="E469">
        <v>250709</v>
      </c>
      <c r="F469" s="7">
        <f>DATE(2000+LEFT(E469,2), MID(E469,3,2), RIGHT(E469,2))</f>
        <v>45847</v>
      </c>
      <c r="G469" t="s">
        <v>882</v>
      </c>
      <c r="H469" t="s">
        <v>6</v>
      </c>
      <c r="I469">
        <v>93000</v>
      </c>
      <c r="J469" t="s">
        <v>883</v>
      </c>
    </row>
    <row r="470" spans="1:10" ht="16.5" x14ac:dyDescent="0.2">
      <c r="A470" t="s">
        <v>884</v>
      </c>
      <c r="B470" t="s">
        <v>1561</v>
      </c>
      <c r="C470" t="s">
        <v>20</v>
      </c>
      <c r="D470" t="s">
        <v>878</v>
      </c>
      <c r="E470">
        <v>250709</v>
      </c>
      <c r="F470" s="7">
        <f>DATE(2000+LEFT(E470,2), MID(E470,3,2), RIGHT(E470,2))</f>
        <v>45847</v>
      </c>
      <c r="G470" t="s">
        <v>885</v>
      </c>
      <c r="H470" t="s">
        <v>6</v>
      </c>
      <c r="I470">
        <v>93164</v>
      </c>
      <c r="J470" t="s">
        <v>886</v>
      </c>
    </row>
    <row r="471" spans="1:10" ht="16.5" x14ac:dyDescent="0.2">
      <c r="A471" t="s">
        <v>887</v>
      </c>
      <c r="B471" t="s">
        <v>1561</v>
      </c>
      <c r="C471" t="s">
        <v>27</v>
      </c>
      <c r="D471" t="s">
        <v>878</v>
      </c>
      <c r="E471">
        <v>250709</v>
      </c>
      <c r="F471" s="7">
        <f>DATE(2000+LEFT(E471,2), MID(E471,3,2), RIGHT(E471,2))</f>
        <v>45847</v>
      </c>
      <c r="G471" t="s">
        <v>888</v>
      </c>
      <c r="H471" t="s">
        <v>6</v>
      </c>
      <c r="I471">
        <v>93000</v>
      </c>
      <c r="J471" t="s">
        <v>889</v>
      </c>
    </row>
    <row r="472" spans="1:10" ht="16.5" x14ac:dyDescent="0.2">
      <c r="A472" t="s">
        <v>1216</v>
      </c>
      <c r="B472" t="s">
        <v>1565</v>
      </c>
      <c r="C472" t="s">
        <v>77</v>
      </c>
      <c r="D472" t="s">
        <v>692</v>
      </c>
      <c r="E472">
        <v>250714</v>
      </c>
      <c r="F472" s="7">
        <f>DATE(2000+LEFT(E472,2), MID(E472,3,2), RIGHT(E472,2))</f>
        <v>45852</v>
      </c>
      <c r="G472" t="s">
        <v>1217</v>
      </c>
      <c r="H472" t="s">
        <v>6</v>
      </c>
      <c r="I472">
        <v>82740</v>
      </c>
      <c r="J472" t="s">
        <v>1218</v>
      </c>
    </row>
    <row r="473" spans="1:10" hidden="1" x14ac:dyDescent="0.2">
      <c r="A473" t="s">
        <v>148</v>
      </c>
      <c r="B473" t="s">
        <v>134</v>
      </c>
      <c r="C473" t="s">
        <v>144</v>
      </c>
      <c r="D473" t="s">
        <v>149</v>
      </c>
      <c r="E473">
        <v>250715</v>
      </c>
      <c r="G473" t="s">
        <v>150</v>
      </c>
      <c r="H473" t="s">
        <v>14</v>
      </c>
      <c r="I473">
        <v>83496</v>
      </c>
      <c r="J473" t="s">
        <v>151</v>
      </c>
    </row>
    <row r="474" spans="1:10" ht="16.5" x14ac:dyDescent="0.2">
      <c r="A474" t="s">
        <v>205</v>
      </c>
      <c r="B474" t="s">
        <v>134</v>
      </c>
      <c r="C474" t="s">
        <v>144</v>
      </c>
      <c r="D474" t="s">
        <v>149</v>
      </c>
      <c r="E474">
        <v>250715</v>
      </c>
      <c r="F474" s="7">
        <f>DATE(2000+LEFT(E474,2), MID(E474,3,2), RIGHT(E474,2))</f>
        <v>45853</v>
      </c>
      <c r="G474" t="s">
        <v>150</v>
      </c>
      <c r="H474" t="s">
        <v>6</v>
      </c>
      <c r="I474">
        <v>83496</v>
      </c>
      <c r="J474" t="s">
        <v>206</v>
      </c>
    </row>
    <row r="475" spans="1:10" hidden="1" x14ac:dyDescent="0.2">
      <c r="A475" t="s">
        <v>1377</v>
      </c>
      <c r="B475" t="s">
        <v>1310</v>
      </c>
      <c r="C475" t="s">
        <v>11</v>
      </c>
      <c r="D475" t="s">
        <v>1378</v>
      </c>
      <c r="E475">
        <v>250715</v>
      </c>
      <c r="G475" t="s">
        <v>1379</v>
      </c>
      <c r="H475" t="s">
        <v>14</v>
      </c>
      <c r="I475">
        <v>91564</v>
      </c>
      <c r="J475" t="s">
        <v>1380</v>
      </c>
    </row>
    <row r="476" spans="1:10" hidden="1" x14ac:dyDescent="0.2">
      <c r="A476" t="s">
        <v>1381</v>
      </c>
      <c r="B476" t="s">
        <v>1310</v>
      </c>
      <c r="C476" t="s">
        <v>144</v>
      </c>
      <c r="D476" t="s">
        <v>1378</v>
      </c>
      <c r="E476">
        <v>250715</v>
      </c>
      <c r="G476" t="s">
        <v>1382</v>
      </c>
      <c r="H476" t="s">
        <v>14</v>
      </c>
      <c r="I476">
        <v>91396</v>
      </c>
      <c r="J476" t="s">
        <v>1383</v>
      </c>
    </row>
    <row r="477" spans="1:10" hidden="1" x14ac:dyDescent="0.2">
      <c r="A477" t="s">
        <v>1384</v>
      </c>
      <c r="B477" t="s">
        <v>1310</v>
      </c>
      <c r="C477" t="s">
        <v>20</v>
      </c>
      <c r="D477" t="s">
        <v>1378</v>
      </c>
      <c r="E477">
        <v>250715</v>
      </c>
      <c r="G477" t="s">
        <v>1385</v>
      </c>
      <c r="H477" t="s">
        <v>14</v>
      </c>
      <c r="I477">
        <v>91564</v>
      </c>
      <c r="J477" t="s">
        <v>1386</v>
      </c>
    </row>
    <row r="478" spans="1:10" hidden="1" x14ac:dyDescent="0.2">
      <c r="A478" t="s">
        <v>1387</v>
      </c>
      <c r="B478" t="s">
        <v>1310</v>
      </c>
      <c r="C478" t="s">
        <v>27</v>
      </c>
      <c r="D478" t="s">
        <v>1378</v>
      </c>
      <c r="E478">
        <v>250715</v>
      </c>
      <c r="G478" t="s">
        <v>150</v>
      </c>
      <c r="H478" t="s">
        <v>14</v>
      </c>
      <c r="I478">
        <v>91404</v>
      </c>
      <c r="J478" t="s">
        <v>1388</v>
      </c>
    </row>
    <row r="479" spans="1:10" hidden="1" x14ac:dyDescent="0.2">
      <c r="A479" t="s">
        <v>510</v>
      </c>
      <c r="B479" t="s">
        <v>493</v>
      </c>
      <c r="C479" t="s">
        <v>11</v>
      </c>
      <c r="D479" t="s">
        <v>511</v>
      </c>
      <c r="E479">
        <v>250718</v>
      </c>
      <c r="G479" t="s">
        <v>512</v>
      </c>
      <c r="H479" t="s">
        <v>14</v>
      </c>
      <c r="I479">
        <v>82536</v>
      </c>
      <c r="J479" t="s">
        <v>513</v>
      </c>
    </row>
    <row r="480" spans="1:10" hidden="1" x14ac:dyDescent="0.2">
      <c r="A480" t="s">
        <v>514</v>
      </c>
      <c r="B480" t="s">
        <v>493</v>
      </c>
      <c r="C480" t="s">
        <v>20</v>
      </c>
      <c r="D480" t="s">
        <v>511</v>
      </c>
      <c r="E480">
        <v>250718</v>
      </c>
      <c r="G480" t="s">
        <v>515</v>
      </c>
      <c r="H480" t="s">
        <v>14</v>
      </c>
      <c r="I480">
        <v>82536</v>
      </c>
      <c r="J480" t="s">
        <v>516</v>
      </c>
    </row>
    <row r="481" spans="1:10" hidden="1" x14ac:dyDescent="0.2">
      <c r="A481" t="s">
        <v>517</v>
      </c>
      <c r="B481" t="s">
        <v>493</v>
      </c>
      <c r="C481" t="s">
        <v>27</v>
      </c>
      <c r="D481" t="s">
        <v>511</v>
      </c>
      <c r="E481">
        <v>250718</v>
      </c>
      <c r="G481" t="s">
        <v>518</v>
      </c>
      <c r="H481" t="s">
        <v>14</v>
      </c>
      <c r="I481">
        <v>82372</v>
      </c>
      <c r="J481" t="s">
        <v>519</v>
      </c>
    </row>
    <row r="482" spans="1:10" ht="16.5" x14ac:dyDescent="0.2">
      <c r="A482" t="s">
        <v>526</v>
      </c>
      <c r="B482" t="s">
        <v>493</v>
      </c>
      <c r="C482" t="s">
        <v>11</v>
      </c>
      <c r="D482" t="s">
        <v>511</v>
      </c>
      <c r="E482">
        <v>250718</v>
      </c>
      <c r="F482" s="7">
        <f>DATE(2000+LEFT(E482,2), MID(E482,3,2), RIGHT(E482,2))</f>
        <v>45856</v>
      </c>
      <c r="G482" t="s">
        <v>512</v>
      </c>
      <c r="H482" t="s">
        <v>6</v>
      </c>
      <c r="I482">
        <v>82536</v>
      </c>
      <c r="J482" t="s">
        <v>527</v>
      </c>
    </row>
    <row r="483" spans="1:10" ht="16.5" x14ac:dyDescent="0.2">
      <c r="A483" t="s">
        <v>528</v>
      </c>
      <c r="B483" t="s">
        <v>493</v>
      </c>
      <c r="C483" t="s">
        <v>20</v>
      </c>
      <c r="D483" t="s">
        <v>511</v>
      </c>
      <c r="E483">
        <v>250718</v>
      </c>
      <c r="F483" s="7">
        <f>DATE(2000+LEFT(E483,2), MID(E483,3,2), RIGHT(E483,2))</f>
        <v>45856</v>
      </c>
      <c r="G483" t="s">
        <v>515</v>
      </c>
      <c r="H483" t="s">
        <v>6</v>
      </c>
      <c r="I483">
        <v>82536</v>
      </c>
      <c r="J483" t="s">
        <v>529</v>
      </c>
    </row>
    <row r="484" spans="1:10" ht="16.5" x14ac:dyDescent="0.2">
      <c r="A484" t="s">
        <v>530</v>
      </c>
      <c r="B484" t="s">
        <v>493</v>
      </c>
      <c r="C484" t="s">
        <v>27</v>
      </c>
      <c r="D484" t="s">
        <v>511</v>
      </c>
      <c r="E484">
        <v>250718</v>
      </c>
      <c r="F484" s="7">
        <f>DATE(2000+LEFT(E484,2), MID(E484,3,2), RIGHT(E484,2))</f>
        <v>45856</v>
      </c>
      <c r="G484" t="s">
        <v>518</v>
      </c>
      <c r="H484" t="s">
        <v>6</v>
      </c>
      <c r="I484">
        <v>82372</v>
      </c>
      <c r="J484" t="s">
        <v>531</v>
      </c>
    </row>
    <row r="485" spans="1:10" hidden="1" x14ac:dyDescent="0.2">
      <c r="A485" t="s">
        <v>594</v>
      </c>
      <c r="B485" t="s">
        <v>533</v>
      </c>
      <c r="C485" t="s">
        <v>11</v>
      </c>
      <c r="D485" t="s">
        <v>595</v>
      </c>
      <c r="E485">
        <v>250718</v>
      </c>
      <c r="G485" t="s">
        <v>596</v>
      </c>
      <c r="H485" t="s">
        <v>14</v>
      </c>
      <c r="I485">
        <v>82884</v>
      </c>
      <c r="J485" t="s">
        <v>597</v>
      </c>
    </row>
    <row r="486" spans="1:10" hidden="1" x14ac:dyDescent="0.2">
      <c r="A486" t="s">
        <v>598</v>
      </c>
      <c r="B486" t="s">
        <v>533</v>
      </c>
      <c r="C486" t="s">
        <v>20</v>
      </c>
      <c r="D486" t="s">
        <v>595</v>
      </c>
      <c r="E486">
        <v>250718</v>
      </c>
      <c r="G486" t="s">
        <v>599</v>
      </c>
      <c r="H486" t="s">
        <v>14</v>
      </c>
      <c r="I486">
        <v>82884</v>
      </c>
      <c r="J486" t="s">
        <v>600</v>
      </c>
    </row>
    <row r="487" spans="1:10" hidden="1" x14ac:dyDescent="0.2">
      <c r="A487" t="s">
        <v>601</v>
      </c>
      <c r="B487" t="s">
        <v>533</v>
      </c>
      <c r="C487" t="s">
        <v>27</v>
      </c>
      <c r="D487" t="s">
        <v>595</v>
      </c>
      <c r="E487">
        <v>250718</v>
      </c>
      <c r="G487" t="s">
        <v>602</v>
      </c>
      <c r="H487" t="s">
        <v>14</v>
      </c>
      <c r="I487">
        <v>82716</v>
      </c>
      <c r="J487" t="s">
        <v>603</v>
      </c>
    </row>
    <row r="488" spans="1:10" ht="16.5" x14ac:dyDescent="0.2">
      <c r="A488" t="s">
        <v>615</v>
      </c>
      <c r="B488" t="s">
        <v>533</v>
      </c>
      <c r="C488" t="s">
        <v>11</v>
      </c>
      <c r="D488" t="s">
        <v>595</v>
      </c>
      <c r="E488">
        <v>250718</v>
      </c>
      <c r="F488" s="7">
        <f>DATE(2000+LEFT(E488,2), MID(E488,3,2), RIGHT(E488,2))</f>
        <v>45856</v>
      </c>
      <c r="G488" t="s">
        <v>596</v>
      </c>
      <c r="H488" t="s">
        <v>6</v>
      </c>
      <c r="I488">
        <v>82884</v>
      </c>
      <c r="J488" t="s">
        <v>616</v>
      </c>
    </row>
    <row r="489" spans="1:10" ht="16.5" x14ac:dyDescent="0.2">
      <c r="A489" t="s">
        <v>617</v>
      </c>
      <c r="B489" t="s">
        <v>533</v>
      </c>
      <c r="C489" t="s">
        <v>20</v>
      </c>
      <c r="D489" t="s">
        <v>595</v>
      </c>
      <c r="E489">
        <v>250718</v>
      </c>
      <c r="F489" s="7">
        <f>DATE(2000+LEFT(E489,2), MID(E489,3,2), RIGHT(E489,2))</f>
        <v>45856</v>
      </c>
      <c r="G489" t="s">
        <v>599</v>
      </c>
      <c r="H489" t="s">
        <v>6</v>
      </c>
      <c r="I489">
        <v>82884</v>
      </c>
      <c r="J489" t="s">
        <v>618</v>
      </c>
    </row>
    <row r="490" spans="1:10" ht="16.5" x14ac:dyDescent="0.2">
      <c r="A490" t="s">
        <v>619</v>
      </c>
      <c r="B490" t="s">
        <v>533</v>
      </c>
      <c r="C490" t="s">
        <v>27</v>
      </c>
      <c r="D490" t="s">
        <v>595</v>
      </c>
      <c r="E490">
        <v>250718</v>
      </c>
      <c r="F490" s="7">
        <f>DATE(2000+LEFT(E490,2), MID(E490,3,2), RIGHT(E490,2))</f>
        <v>45856</v>
      </c>
      <c r="G490" t="s">
        <v>602</v>
      </c>
      <c r="H490" t="s">
        <v>6</v>
      </c>
      <c r="I490">
        <v>82716</v>
      </c>
      <c r="J490" t="s">
        <v>620</v>
      </c>
    </row>
    <row r="491" spans="1:10" hidden="1" x14ac:dyDescent="0.2">
      <c r="A491" t="s">
        <v>1487</v>
      </c>
      <c r="B491" t="s">
        <v>1472</v>
      </c>
      <c r="C491" t="s">
        <v>11</v>
      </c>
      <c r="D491" t="s">
        <v>820</v>
      </c>
      <c r="E491">
        <v>250722</v>
      </c>
      <c r="G491" t="s">
        <v>1488</v>
      </c>
      <c r="H491" t="s">
        <v>14</v>
      </c>
      <c r="I491">
        <v>88532</v>
      </c>
      <c r="J491" t="s">
        <v>1489</v>
      </c>
    </row>
    <row r="492" spans="1:10" hidden="1" x14ac:dyDescent="0.2">
      <c r="A492" t="s">
        <v>1490</v>
      </c>
      <c r="B492" t="s">
        <v>1472</v>
      </c>
      <c r="C492" t="s">
        <v>20</v>
      </c>
      <c r="D492" t="s">
        <v>820</v>
      </c>
      <c r="E492">
        <v>250722</v>
      </c>
      <c r="G492" t="s">
        <v>1491</v>
      </c>
      <c r="H492" t="s">
        <v>14</v>
      </c>
      <c r="I492">
        <v>88532</v>
      </c>
      <c r="J492" t="s">
        <v>1492</v>
      </c>
    </row>
    <row r="493" spans="1:10" hidden="1" x14ac:dyDescent="0.2">
      <c r="A493" t="s">
        <v>1493</v>
      </c>
      <c r="B493" t="s">
        <v>1472</v>
      </c>
      <c r="C493" t="s">
        <v>27</v>
      </c>
      <c r="D493" t="s">
        <v>820</v>
      </c>
      <c r="E493">
        <v>250722</v>
      </c>
      <c r="G493" t="s">
        <v>1494</v>
      </c>
      <c r="H493" t="s">
        <v>14</v>
      </c>
      <c r="I493">
        <v>88520</v>
      </c>
      <c r="J493" t="s">
        <v>1495</v>
      </c>
    </row>
    <row r="494" spans="1:10" hidden="1" x14ac:dyDescent="0.2">
      <c r="A494" t="s">
        <v>855</v>
      </c>
      <c r="B494" t="s">
        <v>1561</v>
      </c>
      <c r="C494" t="s">
        <v>11</v>
      </c>
      <c r="D494" t="s">
        <v>856</v>
      </c>
      <c r="E494">
        <v>250725</v>
      </c>
      <c r="G494">
        <v>2846</v>
      </c>
      <c r="H494" t="s">
        <v>14</v>
      </c>
      <c r="I494">
        <v>93244</v>
      </c>
      <c r="J494" t="s">
        <v>857</v>
      </c>
    </row>
    <row r="495" spans="1:10" hidden="1" x14ac:dyDescent="0.2">
      <c r="A495" t="s">
        <v>858</v>
      </c>
      <c r="B495" t="s">
        <v>1561</v>
      </c>
      <c r="C495" t="s">
        <v>144</v>
      </c>
      <c r="D495" t="s">
        <v>856</v>
      </c>
      <c r="E495">
        <v>250725</v>
      </c>
      <c r="G495" t="s">
        <v>859</v>
      </c>
      <c r="H495" t="s">
        <v>14</v>
      </c>
      <c r="I495">
        <v>93076</v>
      </c>
      <c r="J495" t="s">
        <v>860</v>
      </c>
    </row>
    <row r="496" spans="1:10" hidden="1" x14ac:dyDescent="0.2">
      <c r="A496" t="s">
        <v>861</v>
      </c>
      <c r="B496" t="s">
        <v>1561</v>
      </c>
      <c r="C496" t="s">
        <v>20</v>
      </c>
      <c r="D496" t="s">
        <v>856</v>
      </c>
      <c r="E496">
        <v>250725</v>
      </c>
      <c r="G496" t="s">
        <v>862</v>
      </c>
      <c r="H496" t="s">
        <v>14</v>
      </c>
      <c r="I496">
        <v>93244</v>
      </c>
      <c r="J496" t="s">
        <v>863</v>
      </c>
    </row>
    <row r="497" spans="1:10" hidden="1" x14ac:dyDescent="0.2">
      <c r="A497" t="s">
        <v>864</v>
      </c>
      <c r="B497" t="s">
        <v>1561</v>
      </c>
      <c r="C497" t="s">
        <v>27</v>
      </c>
      <c r="D497" t="s">
        <v>856</v>
      </c>
      <c r="E497">
        <v>250725</v>
      </c>
      <c r="G497" t="s">
        <v>865</v>
      </c>
      <c r="H497" t="s">
        <v>14</v>
      </c>
      <c r="I497">
        <v>93076</v>
      </c>
      <c r="J497" t="s">
        <v>866</v>
      </c>
    </row>
    <row r="498" spans="1:10" ht="16.5" x14ac:dyDescent="0.2">
      <c r="A498" t="s">
        <v>890</v>
      </c>
      <c r="B498" t="s">
        <v>1561</v>
      </c>
      <c r="C498" t="s">
        <v>11</v>
      </c>
      <c r="D498" t="s">
        <v>856</v>
      </c>
      <c r="E498">
        <v>250725</v>
      </c>
      <c r="F498" s="7">
        <f>DATE(2000+LEFT(E498,2), MID(E498,3,2), RIGHT(E498,2))</f>
        <v>45863</v>
      </c>
      <c r="G498">
        <v>2846</v>
      </c>
      <c r="H498" t="s">
        <v>6</v>
      </c>
      <c r="I498">
        <v>93244</v>
      </c>
      <c r="J498" t="s">
        <v>891</v>
      </c>
    </row>
    <row r="499" spans="1:10" ht="16.5" x14ac:dyDescent="0.2">
      <c r="A499" t="s">
        <v>892</v>
      </c>
      <c r="B499" t="s">
        <v>1561</v>
      </c>
      <c r="C499" t="s">
        <v>144</v>
      </c>
      <c r="D499" t="s">
        <v>856</v>
      </c>
      <c r="E499">
        <v>250725</v>
      </c>
      <c r="F499" s="7">
        <f>DATE(2000+LEFT(E499,2), MID(E499,3,2), RIGHT(E499,2))</f>
        <v>45863</v>
      </c>
      <c r="G499" t="s">
        <v>859</v>
      </c>
      <c r="H499" t="s">
        <v>6</v>
      </c>
      <c r="I499">
        <v>93076</v>
      </c>
      <c r="J499" t="s">
        <v>893</v>
      </c>
    </row>
    <row r="500" spans="1:10" ht="16.5" x14ac:dyDescent="0.2">
      <c r="A500" t="s">
        <v>894</v>
      </c>
      <c r="B500" t="s">
        <v>1561</v>
      </c>
      <c r="C500" t="s">
        <v>20</v>
      </c>
      <c r="D500" t="s">
        <v>856</v>
      </c>
      <c r="E500">
        <v>250725</v>
      </c>
      <c r="F500" s="7">
        <f>DATE(2000+LEFT(E500,2), MID(E500,3,2), RIGHT(E500,2))</f>
        <v>45863</v>
      </c>
      <c r="G500" t="s">
        <v>862</v>
      </c>
      <c r="H500" t="s">
        <v>6</v>
      </c>
      <c r="I500">
        <v>93244</v>
      </c>
      <c r="J500" t="s">
        <v>895</v>
      </c>
    </row>
    <row r="501" spans="1:10" ht="16.5" x14ac:dyDescent="0.2">
      <c r="A501" t="s">
        <v>896</v>
      </c>
      <c r="B501" t="s">
        <v>1561</v>
      </c>
      <c r="C501" t="s">
        <v>27</v>
      </c>
      <c r="D501" t="s">
        <v>856</v>
      </c>
      <c r="E501">
        <v>250725</v>
      </c>
      <c r="F501" s="7">
        <f>DATE(2000+LEFT(E501,2), MID(E501,3,2), RIGHT(E501,2))</f>
        <v>45863</v>
      </c>
      <c r="G501" t="s">
        <v>865</v>
      </c>
      <c r="H501" t="s">
        <v>6</v>
      </c>
      <c r="I501">
        <v>93076</v>
      </c>
      <c r="J501" t="s">
        <v>897</v>
      </c>
    </row>
    <row r="502" spans="1:10" hidden="1" x14ac:dyDescent="0.2">
      <c r="A502" t="s">
        <v>1219</v>
      </c>
      <c r="B502" t="s">
        <v>1565</v>
      </c>
      <c r="C502" t="s">
        <v>11</v>
      </c>
      <c r="D502" t="s">
        <v>208</v>
      </c>
      <c r="E502">
        <v>250730</v>
      </c>
      <c r="G502" t="s">
        <v>1220</v>
      </c>
      <c r="H502" t="s">
        <v>14</v>
      </c>
      <c r="I502">
        <v>82740</v>
      </c>
      <c r="J502" t="s">
        <v>1221</v>
      </c>
    </row>
    <row r="503" spans="1:10" hidden="1" x14ac:dyDescent="0.2">
      <c r="A503" t="s">
        <v>1222</v>
      </c>
      <c r="B503" t="s">
        <v>1565</v>
      </c>
      <c r="C503" t="s">
        <v>82</v>
      </c>
      <c r="D503" t="s">
        <v>208</v>
      </c>
      <c r="E503">
        <v>250730</v>
      </c>
      <c r="G503" t="s">
        <v>1223</v>
      </c>
      <c r="H503" t="s">
        <v>14</v>
      </c>
      <c r="I503">
        <v>82904</v>
      </c>
      <c r="J503" t="s">
        <v>1224</v>
      </c>
    </row>
    <row r="504" spans="1:10" hidden="1" x14ac:dyDescent="0.2">
      <c r="A504" t="s">
        <v>1225</v>
      </c>
      <c r="B504" t="s">
        <v>1565</v>
      </c>
      <c r="C504" t="s">
        <v>144</v>
      </c>
      <c r="D504" t="s">
        <v>208</v>
      </c>
      <c r="E504">
        <v>250730</v>
      </c>
      <c r="G504" t="s">
        <v>1226</v>
      </c>
      <c r="H504" t="s">
        <v>14</v>
      </c>
      <c r="I504">
        <v>82740</v>
      </c>
      <c r="J504" t="s">
        <v>1227</v>
      </c>
    </row>
    <row r="505" spans="1:10" hidden="1" x14ac:dyDescent="0.2">
      <c r="A505" t="s">
        <v>1228</v>
      </c>
      <c r="B505" t="s">
        <v>1565</v>
      </c>
      <c r="C505" t="s">
        <v>77</v>
      </c>
      <c r="D505" t="s">
        <v>208</v>
      </c>
      <c r="E505">
        <v>250730</v>
      </c>
      <c r="G505" t="s">
        <v>1229</v>
      </c>
      <c r="H505" t="s">
        <v>14</v>
      </c>
      <c r="I505">
        <v>82748</v>
      </c>
      <c r="J505" t="s">
        <v>1230</v>
      </c>
    </row>
    <row r="506" spans="1:10" hidden="1" x14ac:dyDescent="0.2">
      <c r="A506" t="s">
        <v>1231</v>
      </c>
      <c r="B506" t="s">
        <v>1565</v>
      </c>
      <c r="C506" t="s">
        <v>27</v>
      </c>
      <c r="D506" t="s">
        <v>208</v>
      </c>
      <c r="E506">
        <v>250730</v>
      </c>
      <c r="G506" t="s">
        <v>1232</v>
      </c>
      <c r="H506" t="s">
        <v>14</v>
      </c>
      <c r="I506">
        <v>82740</v>
      </c>
      <c r="J506" t="s">
        <v>1233</v>
      </c>
    </row>
    <row r="507" spans="1:10" hidden="1" x14ac:dyDescent="0.2">
      <c r="A507" t="s">
        <v>1471</v>
      </c>
      <c r="B507" t="s">
        <v>1472</v>
      </c>
      <c r="C507" t="s">
        <v>11</v>
      </c>
      <c r="D507" t="s">
        <v>163</v>
      </c>
      <c r="E507">
        <v>250801</v>
      </c>
      <c r="G507" t="s">
        <v>1473</v>
      </c>
      <c r="H507" t="s">
        <v>14</v>
      </c>
      <c r="I507">
        <v>89288</v>
      </c>
      <c r="J507" t="s">
        <v>1474</v>
      </c>
    </row>
    <row r="508" spans="1:10" hidden="1" x14ac:dyDescent="0.2">
      <c r="A508" t="s">
        <v>1475</v>
      </c>
      <c r="B508" t="s">
        <v>1472</v>
      </c>
      <c r="C508" t="s">
        <v>144</v>
      </c>
      <c r="D508" t="s">
        <v>163</v>
      </c>
      <c r="E508">
        <v>250801</v>
      </c>
      <c r="G508" t="s">
        <v>1476</v>
      </c>
      <c r="H508" t="s">
        <v>14</v>
      </c>
      <c r="I508">
        <v>89288</v>
      </c>
      <c r="J508" t="s">
        <v>1477</v>
      </c>
    </row>
    <row r="509" spans="1:10" hidden="1" x14ac:dyDescent="0.2">
      <c r="A509" t="s">
        <v>1478</v>
      </c>
      <c r="B509" t="s">
        <v>1472</v>
      </c>
      <c r="C509" t="s">
        <v>20</v>
      </c>
      <c r="D509" t="s">
        <v>163</v>
      </c>
      <c r="E509">
        <v>250801</v>
      </c>
      <c r="G509" t="s">
        <v>1479</v>
      </c>
      <c r="H509" t="s">
        <v>14</v>
      </c>
      <c r="I509">
        <v>89288</v>
      </c>
      <c r="J509" t="s">
        <v>1480</v>
      </c>
    </row>
    <row r="510" spans="1:10" hidden="1" x14ac:dyDescent="0.2">
      <c r="A510" t="s">
        <v>1481</v>
      </c>
      <c r="B510" t="s">
        <v>1472</v>
      </c>
      <c r="C510" t="s">
        <v>27</v>
      </c>
      <c r="D510" t="s">
        <v>163</v>
      </c>
      <c r="E510">
        <v>250801</v>
      </c>
      <c r="G510" t="s">
        <v>1482</v>
      </c>
      <c r="H510" t="s">
        <v>14</v>
      </c>
      <c r="I510">
        <v>89288</v>
      </c>
      <c r="J510" t="s">
        <v>1483</v>
      </c>
    </row>
    <row r="511" spans="1:10" hidden="1" x14ac:dyDescent="0.2">
      <c r="A511" t="s">
        <v>76</v>
      </c>
      <c r="B511" t="s">
        <v>1558</v>
      </c>
      <c r="C511" t="s">
        <v>77</v>
      </c>
      <c r="D511" t="s">
        <v>78</v>
      </c>
      <c r="E511">
        <v>250806</v>
      </c>
      <c r="G511" t="s">
        <v>79</v>
      </c>
      <c r="H511" t="s">
        <v>14</v>
      </c>
      <c r="I511">
        <v>65900</v>
      </c>
      <c r="J511" t="s">
        <v>80</v>
      </c>
    </row>
    <row r="512" spans="1:10" hidden="1" x14ac:dyDescent="0.2">
      <c r="A512" t="s">
        <v>81</v>
      </c>
      <c r="B512" t="s">
        <v>10</v>
      </c>
      <c r="C512" t="s">
        <v>82</v>
      </c>
      <c r="D512" t="s">
        <v>78</v>
      </c>
      <c r="E512">
        <v>250806</v>
      </c>
      <c r="G512" t="s">
        <v>83</v>
      </c>
      <c r="H512" t="s">
        <v>14</v>
      </c>
      <c r="I512">
        <v>66056</v>
      </c>
      <c r="J512" t="s">
        <v>84</v>
      </c>
    </row>
    <row r="513" spans="1:10" ht="16.5" x14ac:dyDescent="0.2">
      <c r="A513" t="s">
        <v>109</v>
      </c>
      <c r="B513" t="s">
        <v>1558</v>
      </c>
      <c r="C513" t="s">
        <v>77</v>
      </c>
      <c r="D513" t="s">
        <v>78</v>
      </c>
      <c r="E513">
        <v>250806</v>
      </c>
      <c r="F513" s="7">
        <f>DATE(2000+LEFT(E513,2), MID(E513,3,2), RIGHT(E513,2))</f>
        <v>45875</v>
      </c>
      <c r="G513" t="s">
        <v>79</v>
      </c>
      <c r="H513" t="s">
        <v>6</v>
      </c>
      <c r="I513">
        <v>65900</v>
      </c>
      <c r="J513" t="s">
        <v>110</v>
      </c>
    </row>
    <row r="514" spans="1:10" ht="16.5" x14ac:dyDescent="0.2">
      <c r="A514" t="s">
        <v>111</v>
      </c>
      <c r="B514" t="s">
        <v>10</v>
      </c>
      <c r="C514" t="s">
        <v>82</v>
      </c>
      <c r="D514" t="s">
        <v>78</v>
      </c>
      <c r="E514">
        <v>250806</v>
      </c>
      <c r="F514" s="7">
        <f>DATE(2000+LEFT(E514,2), MID(E514,3,2), RIGHT(E514,2))</f>
        <v>45875</v>
      </c>
      <c r="G514" t="s">
        <v>83</v>
      </c>
      <c r="H514" t="s">
        <v>6</v>
      </c>
      <c r="I514">
        <v>66056</v>
      </c>
      <c r="J514" t="s">
        <v>112</v>
      </c>
    </row>
    <row r="515" spans="1:10" hidden="1" x14ac:dyDescent="0.2">
      <c r="A515" t="s">
        <v>1496</v>
      </c>
      <c r="B515" t="s">
        <v>1472</v>
      </c>
      <c r="C515" t="s">
        <v>11</v>
      </c>
      <c r="D515" t="s">
        <v>692</v>
      </c>
      <c r="E515">
        <v>250812</v>
      </c>
      <c r="G515" t="s">
        <v>1497</v>
      </c>
      <c r="H515" t="s">
        <v>14</v>
      </c>
      <c r="I515">
        <v>89252</v>
      </c>
      <c r="J515" t="s">
        <v>1498</v>
      </c>
    </row>
    <row r="516" spans="1:10" hidden="1" x14ac:dyDescent="0.2">
      <c r="A516" t="s">
        <v>1499</v>
      </c>
      <c r="B516" t="s">
        <v>1472</v>
      </c>
      <c r="C516" t="s">
        <v>20</v>
      </c>
      <c r="D516" t="s">
        <v>692</v>
      </c>
      <c r="E516">
        <v>250812</v>
      </c>
      <c r="G516" t="s">
        <v>1500</v>
      </c>
      <c r="H516" t="s">
        <v>14</v>
      </c>
      <c r="I516">
        <v>89252</v>
      </c>
      <c r="J516" t="s">
        <v>1501</v>
      </c>
    </row>
    <row r="517" spans="1:10" hidden="1" x14ac:dyDescent="0.2">
      <c r="A517" t="s">
        <v>1502</v>
      </c>
      <c r="B517" t="s">
        <v>1472</v>
      </c>
      <c r="C517" t="s">
        <v>27</v>
      </c>
      <c r="D517" t="s">
        <v>692</v>
      </c>
      <c r="E517">
        <v>250812</v>
      </c>
      <c r="G517" t="s">
        <v>1503</v>
      </c>
      <c r="H517" t="s">
        <v>14</v>
      </c>
      <c r="I517">
        <v>89244</v>
      </c>
      <c r="J517" t="s">
        <v>1504</v>
      </c>
    </row>
    <row r="518" spans="1:10" hidden="1" x14ac:dyDescent="0.2">
      <c r="A518" t="s">
        <v>1505</v>
      </c>
      <c r="B518" t="s">
        <v>1472</v>
      </c>
      <c r="C518" t="s">
        <v>11</v>
      </c>
      <c r="D518" t="s">
        <v>1235</v>
      </c>
      <c r="E518">
        <v>250815</v>
      </c>
      <c r="G518">
        <v>1244</v>
      </c>
      <c r="H518" t="s">
        <v>14</v>
      </c>
      <c r="I518">
        <v>89356</v>
      </c>
      <c r="J518" t="s">
        <v>1506</v>
      </c>
    </row>
    <row r="519" spans="1:10" hidden="1" x14ac:dyDescent="0.2">
      <c r="A519" t="s">
        <v>1507</v>
      </c>
      <c r="B519" t="s">
        <v>1472</v>
      </c>
      <c r="C519" t="s">
        <v>20</v>
      </c>
      <c r="D519" t="s">
        <v>1235</v>
      </c>
      <c r="E519">
        <v>250815</v>
      </c>
      <c r="G519">
        <v>1259</v>
      </c>
      <c r="H519" t="s">
        <v>14</v>
      </c>
      <c r="I519">
        <v>89356</v>
      </c>
      <c r="J519" t="s">
        <v>1508</v>
      </c>
    </row>
    <row r="520" spans="1:10" hidden="1" x14ac:dyDescent="0.2">
      <c r="A520" t="s">
        <v>1509</v>
      </c>
      <c r="B520" t="s">
        <v>1472</v>
      </c>
      <c r="C520" t="s">
        <v>27</v>
      </c>
      <c r="D520" t="s">
        <v>1235</v>
      </c>
      <c r="E520">
        <v>250815</v>
      </c>
      <c r="G520" t="s">
        <v>1510</v>
      </c>
      <c r="H520" t="s">
        <v>14</v>
      </c>
      <c r="I520">
        <v>89344</v>
      </c>
      <c r="J520" t="s">
        <v>1511</v>
      </c>
    </row>
    <row r="521" spans="1:10" hidden="1" x14ac:dyDescent="0.2">
      <c r="A521" t="s">
        <v>1303</v>
      </c>
      <c r="B521" t="s">
        <v>1257</v>
      </c>
      <c r="C521" t="s">
        <v>11</v>
      </c>
      <c r="D521" t="s">
        <v>1287</v>
      </c>
      <c r="E521">
        <v>250819</v>
      </c>
      <c r="G521" t="s">
        <v>1304</v>
      </c>
      <c r="H521" t="s">
        <v>14</v>
      </c>
      <c r="I521">
        <v>95712</v>
      </c>
      <c r="J521" t="s">
        <v>1305</v>
      </c>
    </row>
    <row r="522" spans="1:10" hidden="1" x14ac:dyDescent="0.2">
      <c r="A522" t="s">
        <v>1306</v>
      </c>
      <c r="B522" t="s">
        <v>1257</v>
      </c>
      <c r="C522" t="s">
        <v>11</v>
      </c>
      <c r="D522" t="s">
        <v>992</v>
      </c>
      <c r="E522">
        <v>250820</v>
      </c>
      <c r="G522" t="s">
        <v>1307</v>
      </c>
      <c r="H522" t="s">
        <v>14</v>
      </c>
      <c r="I522">
        <v>95720</v>
      </c>
      <c r="J522" t="s">
        <v>1308</v>
      </c>
    </row>
    <row r="523" spans="1:10" ht="16.5" x14ac:dyDescent="0.2">
      <c r="A523" t="s">
        <v>910</v>
      </c>
      <c r="B523" t="s">
        <v>1561</v>
      </c>
      <c r="C523" t="s">
        <v>11</v>
      </c>
      <c r="D523" t="s">
        <v>911</v>
      </c>
      <c r="E523">
        <v>250823</v>
      </c>
      <c r="F523" s="7">
        <f t="shared" ref="F523:F531" si="5">DATE(2000+LEFT(E523,2), MID(E523,3,2), RIGHT(E523,2))</f>
        <v>45892</v>
      </c>
      <c r="G523" t="s">
        <v>912</v>
      </c>
      <c r="H523" t="s">
        <v>6</v>
      </c>
      <c r="I523">
        <v>92012</v>
      </c>
      <c r="J523" t="s">
        <v>913</v>
      </c>
    </row>
    <row r="524" spans="1:10" ht="16.5" x14ac:dyDescent="0.2">
      <c r="A524" t="s">
        <v>914</v>
      </c>
      <c r="B524" t="s">
        <v>1561</v>
      </c>
      <c r="C524" t="s">
        <v>144</v>
      </c>
      <c r="D524" t="s">
        <v>911</v>
      </c>
      <c r="E524">
        <v>250823</v>
      </c>
      <c r="F524" s="7">
        <f t="shared" si="5"/>
        <v>45892</v>
      </c>
      <c r="G524" t="s">
        <v>915</v>
      </c>
      <c r="H524" t="s">
        <v>6</v>
      </c>
      <c r="I524">
        <v>91844</v>
      </c>
      <c r="J524" t="s">
        <v>916</v>
      </c>
    </row>
    <row r="525" spans="1:10" ht="16.5" x14ac:dyDescent="0.2">
      <c r="A525" t="s">
        <v>917</v>
      </c>
      <c r="B525" t="s">
        <v>1561</v>
      </c>
      <c r="C525" t="s">
        <v>20</v>
      </c>
      <c r="D525" t="s">
        <v>911</v>
      </c>
      <c r="E525">
        <v>250823</v>
      </c>
      <c r="F525" s="7">
        <f t="shared" si="5"/>
        <v>45892</v>
      </c>
      <c r="G525" t="s">
        <v>918</v>
      </c>
      <c r="H525" t="s">
        <v>6</v>
      </c>
      <c r="I525">
        <v>92012</v>
      </c>
      <c r="J525" t="s">
        <v>919</v>
      </c>
    </row>
    <row r="526" spans="1:10" ht="16.5" x14ac:dyDescent="0.2">
      <c r="A526" t="s">
        <v>920</v>
      </c>
      <c r="B526" t="s">
        <v>1561</v>
      </c>
      <c r="C526" t="s">
        <v>27</v>
      </c>
      <c r="D526" t="s">
        <v>911</v>
      </c>
      <c r="E526">
        <v>250823</v>
      </c>
      <c r="F526" s="7">
        <f t="shared" si="5"/>
        <v>45892</v>
      </c>
      <c r="G526" t="s">
        <v>921</v>
      </c>
      <c r="H526" t="s">
        <v>6</v>
      </c>
      <c r="I526">
        <v>91844</v>
      </c>
      <c r="J526" t="s">
        <v>922</v>
      </c>
    </row>
    <row r="527" spans="1:10" ht="16.5" x14ac:dyDescent="0.2">
      <c r="A527" t="s">
        <v>1234</v>
      </c>
      <c r="B527" t="s">
        <v>1565</v>
      </c>
      <c r="C527" t="s">
        <v>11</v>
      </c>
      <c r="D527" t="s">
        <v>1235</v>
      </c>
      <c r="E527">
        <v>250826</v>
      </c>
      <c r="F527" s="7">
        <f t="shared" si="5"/>
        <v>45895</v>
      </c>
      <c r="G527" t="s">
        <v>1236</v>
      </c>
      <c r="H527" t="s">
        <v>6</v>
      </c>
      <c r="I527">
        <v>82716</v>
      </c>
      <c r="J527" t="s">
        <v>1237</v>
      </c>
    </row>
    <row r="528" spans="1:10" ht="16.5" x14ac:dyDescent="0.2">
      <c r="A528" t="s">
        <v>1238</v>
      </c>
      <c r="B528" t="s">
        <v>1565</v>
      </c>
      <c r="C528" t="s">
        <v>82</v>
      </c>
      <c r="D528" t="s">
        <v>1235</v>
      </c>
      <c r="E528">
        <v>250826</v>
      </c>
      <c r="F528" s="7">
        <f t="shared" si="5"/>
        <v>45895</v>
      </c>
      <c r="G528">
        <v>1804</v>
      </c>
      <c r="H528" t="s">
        <v>6</v>
      </c>
      <c r="I528">
        <v>82876</v>
      </c>
      <c r="J528" t="s">
        <v>1239</v>
      </c>
    </row>
    <row r="529" spans="1:10" ht="16.5" x14ac:dyDescent="0.2">
      <c r="A529" t="s">
        <v>1240</v>
      </c>
      <c r="B529" t="s">
        <v>1565</v>
      </c>
      <c r="C529" t="s">
        <v>144</v>
      </c>
      <c r="D529" t="s">
        <v>1235</v>
      </c>
      <c r="E529">
        <v>250826</v>
      </c>
      <c r="F529" s="7">
        <f t="shared" si="5"/>
        <v>45895</v>
      </c>
      <c r="G529" t="s">
        <v>1241</v>
      </c>
      <c r="H529" t="s">
        <v>6</v>
      </c>
      <c r="I529">
        <v>82716</v>
      </c>
      <c r="J529" t="s">
        <v>1242</v>
      </c>
    </row>
    <row r="530" spans="1:10" ht="16.5" x14ac:dyDescent="0.2">
      <c r="A530" t="s">
        <v>1243</v>
      </c>
      <c r="B530" t="s">
        <v>1565</v>
      </c>
      <c r="C530" t="s">
        <v>77</v>
      </c>
      <c r="D530" t="s">
        <v>1235</v>
      </c>
      <c r="E530">
        <v>250826</v>
      </c>
      <c r="F530" s="7">
        <f t="shared" si="5"/>
        <v>45895</v>
      </c>
      <c r="G530" t="s">
        <v>1244</v>
      </c>
      <c r="H530" t="s">
        <v>6</v>
      </c>
      <c r="I530">
        <v>82724</v>
      </c>
      <c r="J530" t="s">
        <v>1245</v>
      </c>
    </row>
    <row r="531" spans="1:10" ht="16.5" x14ac:dyDescent="0.2">
      <c r="A531" t="s">
        <v>1246</v>
      </c>
      <c r="B531" t="s">
        <v>1565</v>
      </c>
      <c r="C531" t="s">
        <v>27</v>
      </c>
      <c r="D531" t="s">
        <v>1235</v>
      </c>
      <c r="E531">
        <v>250826</v>
      </c>
      <c r="F531" s="7">
        <f t="shared" si="5"/>
        <v>45895</v>
      </c>
      <c r="G531" t="s">
        <v>1247</v>
      </c>
      <c r="H531" t="s">
        <v>6</v>
      </c>
      <c r="I531">
        <v>82716</v>
      </c>
      <c r="J531" t="s">
        <v>1248</v>
      </c>
    </row>
    <row r="532" spans="1:10" hidden="1" x14ac:dyDescent="0.2">
      <c r="A532" t="s">
        <v>1402</v>
      </c>
      <c r="B532" t="s">
        <v>1403</v>
      </c>
      <c r="C532" t="s">
        <v>27</v>
      </c>
      <c r="D532" t="s">
        <v>549</v>
      </c>
      <c r="E532">
        <v>250828</v>
      </c>
      <c r="G532">
        <v>2489</v>
      </c>
      <c r="H532" t="s">
        <v>14</v>
      </c>
      <c r="I532">
        <v>84620</v>
      </c>
      <c r="J532" t="s">
        <v>1404</v>
      </c>
    </row>
    <row r="533" spans="1:10" ht="16.5" x14ac:dyDescent="0.2">
      <c r="A533" t="s">
        <v>1152</v>
      </c>
      <c r="B533" t="s">
        <v>1123</v>
      </c>
      <c r="C533" t="s">
        <v>11</v>
      </c>
      <c r="D533" t="s">
        <v>1153</v>
      </c>
      <c r="E533">
        <v>250903</v>
      </c>
      <c r="F533" s="7">
        <f t="shared" ref="F533:F559" si="6">DATE(2000+LEFT(E533,2), MID(E533,3,2), RIGHT(E533,2))</f>
        <v>45903</v>
      </c>
      <c r="G533" t="s">
        <v>1154</v>
      </c>
      <c r="H533" t="s">
        <v>6</v>
      </c>
      <c r="I533">
        <v>87384</v>
      </c>
      <c r="J533" t="s">
        <v>1155</v>
      </c>
    </row>
    <row r="534" spans="1:10" ht="16.5" x14ac:dyDescent="0.2">
      <c r="A534" t="s">
        <v>1156</v>
      </c>
      <c r="B534" t="s">
        <v>1123</v>
      </c>
      <c r="C534" t="s">
        <v>144</v>
      </c>
      <c r="D534" t="s">
        <v>1153</v>
      </c>
      <c r="E534">
        <v>250903</v>
      </c>
      <c r="F534" s="7">
        <f t="shared" si="6"/>
        <v>45903</v>
      </c>
      <c r="G534" t="s">
        <v>1157</v>
      </c>
      <c r="H534" t="s">
        <v>6</v>
      </c>
      <c r="I534">
        <v>87140</v>
      </c>
      <c r="J534" t="s">
        <v>1158</v>
      </c>
    </row>
    <row r="535" spans="1:10" ht="16.5" x14ac:dyDescent="0.2">
      <c r="A535" t="s">
        <v>1159</v>
      </c>
      <c r="B535" t="s">
        <v>1123</v>
      </c>
      <c r="C535" t="s">
        <v>20</v>
      </c>
      <c r="D535" t="s">
        <v>1153</v>
      </c>
      <c r="E535">
        <v>250903</v>
      </c>
      <c r="F535" s="7">
        <f t="shared" si="6"/>
        <v>45903</v>
      </c>
      <c r="G535" t="s">
        <v>1160</v>
      </c>
      <c r="H535" t="s">
        <v>6</v>
      </c>
      <c r="I535">
        <v>87300</v>
      </c>
      <c r="J535" t="s">
        <v>1161</v>
      </c>
    </row>
    <row r="536" spans="1:10" ht="16.5" x14ac:dyDescent="0.2">
      <c r="A536" t="s">
        <v>1162</v>
      </c>
      <c r="B536" t="s">
        <v>1123</v>
      </c>
      <c r="C536" t="s">
        <v>27</v>
      </c>
      <c r="D536" t="s">
        <v>1153</v>
      </c>
      <c r="E536">
        <v>250903</v>
      </c>
      <c r="F536" s="7">
        <f t="shared" si="6"/>
        <v>45903</v>
      </c>
      <c r="G536" t="s">
        <v>1163</v>
      </c>
      <c r="H536" t="s">
        <v>6</v>
      </c>
      <c r="I536">
        <v>87140</v>
      </c>
      <c r="J536" t="s">
        <v>1164</v>
      </c>
    </row>
    <row r="537" spans="1:10" ht="16.5" x14ac:dyDescent="0.2">
      <c r="A537" t="s">
        <v>113</v>
      </c>
      <c r="B537" t="s">
        <v>1558</v>
      </c>
      <c r="C537" t="s">
        <v>77</v>
      </c>
      <c r="D537" t="s">
        <v>114</v>
      </c>
      <c r="E537">
        <v>250904</v>
      </c>
      <c r="F537" s="7">
        <f t="shared" si="6"/>
        <v>45904</v>
      </c>
      <c r="G537">
        <v>4321</v>
      </c>
      <c r="H537" t="s">
        <v>6</v>
      </c>
      <c r="I537">
        <v>65292</v>
      </c>
      <c r="J537" t="s">
        <v>115</v>
      </c>
    </row>
    <row r="538" spans="1:10" ht="16.5" x14ac:dyDescent="0.2">
      <c r="A538" t="s">
        <v>116</v>
      </c>
      <c r="B538" t="s">
        <v>10</v>
      </c>
      <c r="C538" t="s">
        <v>82</v>
      </c>
      <c r="D538" t="s">
        <v>114</v>
      </c>
      <c r="E538">
        <v>250904</v>
      </c>
      <c r="F538" s="7">
        <f t="shared" si="6"/>
        <v>45904</v>
      </c>
      <c r="G538">
        <v>8926</v>
      </c>
      <c r="H538" t="s">
        <v>6</v>
      </c>
      <c r="I538">
        <v>64656</v>
      </c>
      <c r="J538" t="s">
        <v>117</v>
      </c>
    </row>
    <row r="539" spans="1:10" ht="16.5" x14ac:dyDescent="0.2">
      <c r="A539" t="s">
        <v>118</v>
      </c>
      <c r="B539" t="s">
        <v>10</v>
      </c>
      <c r="C539" t="s">
        <v>20</v>
      </c>
      <c r="D539" t="s">
        <v>114</v>
      </c>
      <c r="E539">
        <v>250904</v>
      </c>
      <c r="F539" s="7">
        <f t="shared" si="6"/>
        <v>45904</v>
      </c>
      <c r="G539">
        <v>4240</v>
      </c>
      <c r="H539" t="s">
        <v>6</v>
      </c>
      <c r="I539">
        <v>65284</v>
      </c>
      <c r="J539" t="s">
        <v>119</v>
      </c>
    </row>
    <row r="540" spans="1:10" ht="16.5" x14ac:dyDescent="0.2">
      <c r="A540" t="s">
        <v>120</v>
      </c>
      <c r="B540" t="s">
        <v>10</v>
      </c>
      <c r="C540" t="s">
        <v>27</v>
      </c>
      <c r="D540" t="s">
        <v>114</v>
      </c>
      <c r="E540">
        <v>250904</v>
      </c>
      <c r="F540" s="7">
        <f t="shared" si="6"/>
        <v>45904</v>
      </c>
      <c r="G540" t="s">
        <v>121</v>
      </c>
      <c r="H540" t="s">
        <v>6</v>
      </c>
      <c r="I540">
        <v>65284</v>
      </c>
      <c r="J540" t="s">
        <v>122</v>
      </c>
    </row>
    <row r="541" spans="1:10" ht="16.5" x14ac:dyDescent="0.2">
      <c r="A541" t="s">
        <v>1548</v>
      </c>
      <c r="B541" t="s">
        <v>1563</v>
      </c>
      <c r="C541" t="s">
        <v>11</v>
      </c>
      <c r="D541" t="s">
        <v>1235</v>
      </c>
      <c r="E541">
        <v>250904</v>
      </c>
      <c r="F541" s="7">
        <f t="shared" si="6"/>
        <v>45904</v>
      </c>
      <c r="G541" t="s">
        <v>1549</v>
      </c>
      <c r="H541" t="s">
        <v>6</v>
      </c>
      <c r="I541">
        <v>89300</v>
      </c>
      <c r="J541" t="s">
        <v>1550</v>
      </c>
    </row>
    <row r="542" spans="1:10" ht="16.5" x14ac:dyDescent="0.2">
      <c r="A542" t="s">
        <v>1551</v>
      </c>
      <c r="B542" t="s">
        <v>1563</v>
      </c>
      <c r="C542" t="s">
        <v>20</v>
      </c>
      <c r="D542" t="s">
        <v>1235</v>
      </c>
      <c r="E542">
        <v>250904</v>
      </c>
      <c r="F542" s="7">
        <f t="shared" si="6"/>
        <v>45904</v>
      </c>
      <c r="G542" t="s">
        <v>1552</v>
      </c>
      <c r="H542" t="s">
        <v>6</v>
      </c>
      <c r="I542">
        <v>89300</v>
      </c>
      <c r="J542" t="s">
        <v>1553</v>
      </c>
    </row>
    <row r="543" spans="1:10" ht="16.5" x14ac:dyDescent="0.2">
      <c r="A543" t="s">
        <v>1554</v>
      </c>
      <c r="B543" t="s">
        <v>1563</v>
      </c>
      <c r="C543" t="s">
        <v>27</v>
      </c>
      <c r="D543" t="s">
        <v>1235</v>
      </c>
      <c r="E543">
        <v>250904</v>
      </c>
      <c r="F543" s="7">
        <f t="shared" si="6"/>
        <v>45904</v>
      </c>
      <c r="G543" t="s">
        <v>1555</v>
      </c>
      <c r="H543" t="s">
        <v>6</v>
      </c>
      <c r="I543">
        <v>89292</v>
      </c>
      <c r="J543" t="s">
        <v>1556</v>
      </c>
    </row>
    <row r="544" spans="1:10" ht="16.5" x14ac:dyDescent="0.2">
      <c r="A544" t="s">
        <v>1389</v>
      </c>
      <c r="B544" t="s">
        <v>1310</v>
      </c>
      <c r="C544" t="s">
        <v>11</v>
      </c>
      <c r="D544" t="s">
        <v>1390</v>
      </c>
      <c r="E544">
        <v>250911</v>
      </c>
      <c r="F544" s="7">
        <f t="shared" si="6"/>
        <v>45911</v>
      </c>
      <c r="G544" t="s">
        <v>1391</v>
      </c>
      <c r="H544" t="s">
        <v>6</v>
      </c>
      <c r="I544">
        <v>87812</v>
      </c>
      <c r="J544" t="s">
        <v>1392</v>
      </c>
    </row>
    <row r="545" spans="1:10" ht="16.5" x14ac:dyDescent="0.2">
      <c r="A545" t="s">
        <v>1393</v>
      </c>
      <c r="B545" t="s">
        <v>1310</v>
      </c>
      <c r="C545" t="s">
        <v>144</v>
      </c>
      <c r="D545" t="s">
        <v>1390</v>
      </c>
      <c r="E545">
        <v>250911</v>
      </c>
      <c r="F545" s="7">
        <f t="shared" si="6"/>
        <v>45911</v>
      </c>
      <c r="G545" t="s">
        <v>1394</v>
      </c>
      <c r="H545" t="s">
        <v>6</v>
      </c>
      <c r="I545">
        <v>87648</v>
      </c>
      <c r="J545" t="s">
        <v>1395</v>
      </c>
    </row>
    <row r="546" spans="1:10" ht="16.5" x14ac:dyDescent="0.2">
      <c r="A546" t="s">
        <v>1396</v>
      </c>
      <c r="B546" t="s">
        <v>1310</v>
      </c>
      <c r="C546" t="s">
        <v>20</v>
      </c>
      <c r="D546" t="s">
        <v>1390</v>
      </c>
      <c r="E546">
        <v>250911</v>
      </c>
      <c r="F546" s="7">
        <f t="shared" si="6"/>
        <v>45911</v>
      </c>
      <c r="G546" s="1" t="s">
        <v>1397</v>
      </c>
      <c r="H546" t="s">
        <v>6</v>
      </c>
      <c r="I546">
        <v>87812</v>
      </c>
      <c r="J546" t="s">
        <v>1398</v>
      </c>
    </row>
    <row r="547" spans="1:10" ht="16.5" x14ac:dyDescent="0.2">
      <c r="A547" t="s">
        <v>1399</v>
      </c>
      <c r="B547" t="s">
        <v>1310</v>
      </c>
      <c r="C547" t="s">
        <v>27</v>
      </c>
      <c r="D547" t="s">
        <v>1390</v>
      </c>
      <c r="E547">
        <v>250911</v>
      </c>
      <c r="F547" s="7">
        <f t="shared" si="6"/>
        <v>45911</v>
      </c>
      <c r="G547" t="s">
        <v>1400</v>
      </c>
      <c r="H547" t="s">
        <v>6</v>
      </c>
      <c r="I547">
        <v>87648</v>
      </c>
      <c r="J547" t="s">
        <v>1401</v>
      </c>
    </row>
    <row r="548" spans="1:10" ht="16.5" x14ac:dyDescent="0.2">
      <c r="A548" t="s">
        <v>1538</v>
      </c>
      <c r="B548" t="s">
        <v>1472</v>
      </c>
      <c r="C548" t="s">
        <v>11</v>
      </c>
      <c r="D548" t="s">
        <v>1539</v>
      </c>
      <c r="E548">
        <v>250915</v>
      </c>
      <c r="F548" s="7">
        <f t="shared" si="6"/>
        <v>45915</v>
      </c>
      <c r="G548" t="s">
        <v>1540</v>
      </c>
      <c r="H548" t="s">
        <v>6</v>
      </c>
      <c r="I548">
        <v>88256</v>
      </c>
      <c r="J548" t="s">
        <v>1541</v>
      </c>
    </row>
    <row r="549" spans="1:10" ht="16.5" x14ac:dyDescent="0.2">
      <c r="A549" t="s">
        <v>1542</v>
      </c>
      <c r="B549" t="s">
        <v>1472</v>
      </c>
      <c r="C549" t="s">
        <v>20</v>
      </c>
      <c r="D549" t="s">
        <v>1539</v>
      </c>
      <c r="E549">
        <v>250915</v>
      </c>
      <c r="F549" s="7">
        <f t="shared" si="6"/>
        <v>45915</v>
      </c>
      <c r="G549" t="s">
        <v>1543</v>
      </c>
      <c r="H549" t="s">
        <v>6</v>
      </c>
      <c r="I549">
        <v>88256</v>
      </c>
      <c r="J549" t="s">
        <v>1544</v>
      </c>
    </row>
    <row r="550" spans="1:10" ht="16.5" x14ac:dyDescent="0.2">
      <c r="A550" t="s">
        <v>1545</v>
      </c>
      <c r="B550" t="s">
        <v>1472</v>
      </c>
      <c r="C550" t="s">
        <v>27</v>
      </c>
      <c r="D550" t="s">
        <v>1539</v>
      </c>
      <c r="E550">
        <v>250915</v>
      </c>
      <c r="F550" s="7">
        <f t="shared" si="6"/>
        <v>45915</v>
      </c>
      <c r="G550" t="s">
        <v>1546</v>
      </c>
      <c r="H550" t="s">
        <v>6</v>
      </c>
      <c r="I550">
        <v>88248</v>
      </c>
      <c r="J550" t="s">
        <v>1547</v>
      </c>
    </row>
    <row r="551" spans="1:10" ht="16.5" x14ac:dyDescent="0.2">
      <c r="A551" t="s">
        <v>923</v>
      </c>
      <c r="B551" t="s">
        <v>1561</v>
      </c>
      <c r="C551" t="s">
        <v>11</v>
      </c>
      <c r="D551" t="s">
        <v>457</v>
      </c>
      <c r="E551">
        <v>250929</v>
      </c>
      <c r="F551" s="7">
        <f t="shared" si="6"/>
        <v>45929</v>
      </c>
      <c r="G551" t="s">
        <v>924</v>
      </c>
      <c r="H551" t="s">
        <v>6</v>
      </c>
      <c r="I551">
        <v>92648</v>
      </c>
      <c r="J551" t="s">
        <v>925</v>
      </c>
    </row>
    <row r="552" spans="1:10" ht="16.5" x14ac:dyDescent="0.2">
      <c r="A552" t="s">
        <v>926</v>
      </c>
      <c r="B552" t="s">
        <v>1561</v>
      </c>
      <c r="C552" t="s">
        <v>144</v>
      </c>
      <c r="D552" t="s">
        <v>457</v>
      </c>
      <c r="E552">
        <v>250929</v>
      </c>
      <c r="F552" s="7">
        <f t="shared" si="6"/>
        <v>45929</v>
      </c>
      <c r="G552">
        <v>621</v>
      </c>
      <c r="H552" t="s">
        <v>6</v>
      </c>
      <c r="I552">
        <v>92484</v>
      </c>
      <c r="J552" t="s">
        <v>927</v>
      </c>
    </row>
    <row r="553" spans="1:10" ht="16.5" x14ac:dyDescent="0.2">
      <c r="A553" t="s">
        <v>928</v>
      </c>
      <c r="B553" t="s">
        <v>1561</v>
      </c>
      <c r="C553" t="s">
        <v>20</v>
      </c>
      <c r="D553" t="s">
        <v>457</v>
      </c>
      <c r="E553">
        <v>250929</v>
      </c>
      <c r="F553" s="7">
        <f t="shared" si="6"/>
        <v>45929</v>
      </c>
      <c r="G553" t="s">
        <v>929</v>
      </c>
      <c r="H553" t="s">
        <v>6</v>
      </c>
      <c r="I553">
        <v>92648</v>
      </c>
      <c r="J553" t="s">
        <v>930</v>
      </c>
    </row>
    <row r="554" spans="1:10" ht="16.5" x14ac:dyDescent="0.2">
      <c r="A554" t="s">
        <v>931</v>
      </c>
      <c r="B554" t="s">
        <v>1561</v>
      </c>
      <c r="C554" t="s">
        <v>27</v>
      </c>
      <c r="D554" t="s">
        <v>457</v>
      </c>
      <c r="E554">
        <v>250929</v>
      </c>
      <c r="F554" s="7">
        <f t="shared" si="6"/>
        <v>45929</v>
      </c>
      <c r="G554">
        <v>697</v>
      </c>
      <c r="H554" t="s">
        <v>6</v>
      </c>
      <c r="I554">
        <v>92484</v>
      </c>
      <c r="J554" t="s">
        <v>932</v>
      </c>
    </row>
    <row r="555" spans="1:10" ht="16.5" x14ac:dyDescent="0.2">
      <c r="A555" t="s">
        <v>207</v>
      </c>
      <c r="B555" t="s">
        <v>134</v>
      </c>
      <c r="C555" t="s">
        <v>82</v>
      </c>
      <c r="D555" t="s">
        <v>208</v>
      </c>
      <c r="E555">
        <v>251022</v>
      </c>
      <c r="F555" s="7">
        <f t="shared" si="6"/>
        <v>45952</v>
      </c>
      <c r="G555">
        <v>1066</v>
      </c>
      <c r="H555" t="s">
        <v>6</v>
      </c>
      <c r="I555">
        <v>83872</v>
      </c>
      <c r="J555" t="s">
        <v>209</v>
      </c>
    </row>
    <row r="556" spans="1:10" ht="16.5" x14ac:dyDescent="0.2">
      <c r="A556" t="s">
        <v>898</v>
      </c>
      <c r="B556" t="s">
        <v>1561</v>
      </c>
      <c r="C556" t="s">
        <v>11</v>
      </c>
      <c r="D556" t="s">
        <v>899</v>
      </c>
      <c r="E556">
        <v>251117</v>
      </c>
      <c r="F556" s="7">
        <f t="shared" si="6"/>
        <v>45978</v>
      </c>
      <c r="G556" t="s">
        <v>900</v>
      </c>
      <c r="H556" t="s">
        <v>6</v>
      </c>
      <c r="I556">
        <v>92664</v>
      </c>
      <c r="J556" t="s">
        <v>901</v>
      </c>
    </row>
    <row r="557" spans="1:10" ht="16.5" x14ac:dyDescent="0.2">
      <c r="A557" t="s">
        <v>902</v>
      </c>
      <c r="B557" t="s">
        <v>1560</v>
      </c>
      <c r="C557" t="s">
        <v>144</v>
      </c>
      <c r="D557" t="s">
        <v>899</v>
      </c>
      <c r="E557">
        <v>251117</v>
      </c>
      <c r="F557" s="7">
        <f t="shared" si="6"/>
        <v>45978</v>
      </c>
      <c r="G557" t="s">
        <v>903</v>
      </c>
      <c r="H557" t="s">
        <v>6</v>
      </c>
      <c r="I557">
        <v>92500</v>
      </c>
      <c r="J557" t="s">
        <v>904</v>
      </c>
    </row>
    <row r="558" spans="1:10" ht="16.5" x14ac:dyDescent="0.2">
      <c r="A558" t="s">
        <v>905</v>
      </c>
      <c r="B558" t="s">
        <v>1560</v>
      </c>
      <c r="C558" t="s">
        <v>20</v>
      </c>
      <c r="D558" t="s">
        <v>899</v>
      </c>
      <c r="E558">
        <v>251117</v>
      </c>
      <c r="F558" s="7">
        <f t="shared" si="6"/>
        <v>45978</v>
      </c>
      <c r="G558" t="s">
        <v>906</v>
      </c>
      <c r="H558" t="s">
        <v>6</v>
      </c>
      <c r="I558">
        <v>92664</v>
      </c>
      <c r="J558" t="s">
        <v>907</v>
      </c>
    </row>
    <row r="559" spans="1:10" ht="16.5" x14ac:dyDescent="0.2">
      <c r="A559" t="s">
        <v>908</v>
      </c>
      <c r="B559" t="s">
        <v>1560</v>
      </c>
      <c r="C559" t="s">
        <v>27</v>
      </c>
      <c r="D559" t="s">
        <v>899</v>
      </c>
      <c r="E559">
        <v>251117</v>
      </c>
      <c r="F559" s="7">
        <f t="shared" si="6"/>
        <v>45978</v>
      </c>
      <c r="G559">
        <v>681</v>
      </c>
      <c r="H559" t="s">
        <v>6</v>
      </c>
      <c r="I559">
        <v>92500</v>
      </c>
      <c r="J559" t="s">
        <v>909</v>
      </c>
    </row>
    <row r="560" spans="1:10" hidden="1" x14ac:dyDescent="0.2">
      <c r="A560" t="s">
        <v>1462</v>
      </c>
      <c r="B560" t="s">
        <v>1454</v>
      </c>
      <c r="C560" t="s">
        <v>11</v>
      </c>
      <c r="D560" t="s">
        <v>221</v>
      </c>
      <c r="E560">
        <v>251204</v>
      </c>
      <c r="G560" t="s">
        <v>1463</v>
      </c>
      <c r="H560" t="s">
        <v>14</v>
      </c>
      <c r="I560">
        <v>96196</v>
      </c>
      <c r="J560" t="s">
        <v>1464</v>
      </c>
    </row>
    <row r="561" spans="1:10" hidden="1" x14ac:dyDescent="0.2">
      <c r="A561" t="s">
        <v>1468</v>
      </c>
      <c r="B561" t="s">
        <v>1454</v>
      </c>
      <c r="C561" t="s">
        <v>20</v>
      </c>
      <c r="D561" t="s">
        <v>221</v>
      </c>
      <c r="E561">
        <v>251204</v>
      </c>
      <c r="G561" t="s">
        <v>1469</v>
      </c>
      <c r="H561" t="s">
        <v>14</v>
      </c>
      <c r="I561">
        <v>96132</v>
      </c>
      <c r="J561" t="s">
        <v>1470</v>
      </c>
    </row>
    <row r="562" spans="1:10" hidden="1" x14ac:dyDescent="0.2">
      <c r="A562" t="s">
        <v>1465</v>
      </c>
      <c r="B562" t="s">
        <v>1454</v>
      </c>
      <c r="C562" t="s">
        <v>144</v>
      </c>
      <c r="D562" t="s">
        <v>221</v>
      </c>
      <c r="E562">
        <v>251205</v>
      </c>
      <c r="G562" t="s">
        <v>1466</v>
      </c>
      <c r="H562" t="s">
        <v>14</v>
      </c>
      <c r="I562">
        <v>95940</v>
      </c>
      <c r="J562" t="s">
        <v>1467</v>
      </c>
    </row>
    <row r="563" spans="1:10" ht="16.5" x14ac:dyDescent="0.2">
      <c r="A563" t="s">
        <v>933</v>
      </c>
      <c r="B563" t="s">
        <v>1559</v>
      </c>
      <c r="C563" t="s">
        <v>77</v>
      </c>
      <c r="D563" t="s">
        <v>191</v>
      </c>
      <c r="E563">
        <v>251212</v>
      </c>
      <c r="F563" s="7">
        <f>DATE(2000+LEFT(E563,2), MID(E563,3,2), RIGHT(E563,2))</f>
        <v>46003</v>
      </c>
      <c r="G563" t="s">
        <v>934</v>
      </c>
      <c r="H563" t="s">
        <v>6</v>
      </c>
      <c r="I563">
        <v>82796</v>
      </c>
      <c r="J563" t="s">
        <v>935</v>
      </c>
    </row>
    <row r="564" spans="1:10" ht="16.5" x14ac:dyDescent="0.2">
      <c r="A564" t="s">
        <v>936</v>
      </c>
      <c r="B564" t="s">
        <v>937</v>
      </c>
      <c r="C564" t="s">
        <v>144</v>
      </c>
      <c r="D564" t="s">
        <v>191</v>
      </c>
      <c r="E564">
        <v>251212</v>
      </c>
      <c r="F564" s="7">
        <f>DATE(2000+LEFT(E564,2), MID(E564,3,2), RIGHT(E564,2))</f>
        <v>46003</v>
      </c>
      <c r="G564" t="s">
        <v>938</v>
      </c>
      <c r="H564" t="s">
        <v>6</v>
      </c>
      <c r="I564">
        <v>82620</v>
      </c>
      <c r="J564" t="s">
        <v>939</v>
      </c>
    </row>
    <row r="565" spans="1:10" ht="16.5" x14ac:dyDescent="0.2">
      <c r="A565" t="s">
        <v>940</v>
      </c>
      <c r="B565" t="s">
        <v>937</v>
      </c>
      <c r="C565" t="s">
        <v>20</v>
      </c>
      <c r="D565" t="s">
        <v>191</v>
      </c>
      <c r="E565">
        <v>251212</v>
      </c>
      <c r="F565" s="7">
        <f>DATE(2000+LEFT(E565,2), MID(E565,3,2), RIGHT(E565,2))</f>
        <v>46003</v>
      </c>
      <c r="G565" t="s">
        <v>941</v>
      </c>
      <c r="H565" t="s">
        <v>6</v>
      </c>
      <c r="I565">
        <v>82788</v>
      </c>
      <c r="J565" t="s">
        <v>942</v>
      </c>
    </row>
    <row r="566" spans="1:10" ht="16.5" x14ac:dyDescent="0.2">
      <c r="A566" t="s">
        <v>943</v>
      </c>
      <c r="B566" t="s">
        <v>937</v>
      </c>
      <c r="C566" t="s">
        <v>27</v>
      </c>
      <c r="D566" t="s">
        <v>191</v>
      </c>
      <c r="E566">
        <v>251212</v>
      </c>
      <c r="F566" s="7">
        <f>DATE(2000+LEFT(E566,2), MID(E566,3,2), RIGHT(E566,2))</f>
        <v>46003</v>
      </c>
      <c r="G566" t="s">
        <v>944</v>
      </c>
      <c r="H566" t="s">
        <v>6</v>
      </c>
      <c r="I566">
        <v>82620</v>
      </c>
      <c r="J566" t="s">
        <v>945</v>
      </c>
    </row>
    <row r="567" spans="1:10" hidden="1" x14ac:dyDescent="0.2">
      <c r="A567" t="s">
        <v>1453</v>
      </c>
      <c r="B567" t="s">
        <v>1454</v>
      </c>
      <c r="C567" t="s">
        <v>11</v>
      </c>
      <c r="D567" t="s">
        <v>570</v>
      </c>
      <c r="E567">
        <v>251217</v>
      </c>
      <c r="G567" t="s">
        <v>1455</v>
      </c>
      <c r="H567" t="s">
        <v>14</v>
      </c>
      <c r="I567">
        <v>90872</v>
      </c>
      <c r="J567" t="s">
        <v>1456</v>
      </c>
    </row>
    <row r="568" spans="1:10" hidden="1" x14ac:dyDescent="0.2">
      <c r="A568" t="s">
        <v>1457</v>
      </c>
      <c r="B568" t="s">
        <v>1454</v>
      </c>
      <c r="C568" t="s">
        <v>144</v>
      </c>
      <c r="D568" t="s">
        <v>570</v>
      </c>
      <c r="E568">
        <v>251217</v>
      </c>
      <c r="G568">
        <v>264</v>
      </c>
      <c r="H568" t="s">
        <v>14</v>
      </c>
      <c r="I568">
        <v>90616</v>
      </c>
      <c r="J568" t="s">
        <v>1458</v>
      </c>
    </row>
    <row r="569" spans="1:10" hidden="1" x14ac:dyDescent="0.2">
      <c r="A569" t="s">
        <v>1459</v>
      </c>
      <c r="B569" t="s">
        <v>1454</v>
      </c>
      <c r="C569" t="s">
        <v>20</v>
      </c>
      <c r="D569" t="s">
        <v>570</v>
      </c>
      <c r="E569">
        <v>251217</v>
      </c>
      <c r="G569" t="s">
        <v>1460</v>
      </c>
      <c r="H569" t="s">
        <v>14</v>
      </c>
      <c r="I569">
        <v>90812</v>
      </c>
      <c r="J569" t="s">
        <v>1461</v>
      </c>
    </row>
    <row r="570" spans="1:10" ht="16.5" x14ac:dyDescent="0.2">
      <c r="A570" t="s">
        <v>1405</v>
      </c>
      <c r="B570" t="s">
        <v>1403</v>
      </c>
      <c r="C570" t="s">
        <v>27</v>
      </c>
      <c r="D570" t="s">
        <v>171</v>
      </c>
      <c r="E570">
        <v>251218</v>
      </c>
      <c r="F570" s="7">
        <f>DATE(2000+LEFT(E570,2), MID(E570,3,2), RIGHT(E570,2))</f>
        <v>46009</v>
      </c>
      <c r="G570" t="s">
        <v>1406</v>
      </c>
      <c r="H570" t="s">
        <v>6</v>
      </c>
      <c r="I570">
        <v>81452</v>
      </c>
      <c r="J570" t="s">
        <v>1407</v>
      </c>
    </row>
  </sheetData>
  <autoFilter ref="H1:H570" xr:uid="{407690D8-533B-4944-9AEE-3F3C74303F63}">
    <filterColumn colId="0">
      <filters>
        <filter val="release"/>
      </filters>
    </filterColumn>
  </autoFilter>
  <sortState xmlns:xlrd2="http://schemas.microsoft.com/office/spreadsheetml/2017/richdata2" ref="A2:J570">
    <sortCondition ref="F1:F570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8BA-D6DA-4234-9995-CE52A9E867BE}">
  <dimension ref="A1:T46"/>
  <sheetViews>
    <sheetView topLeftCell="B1" workbookViewId="0">
      <selection activeCell="D38" sqref="D38"/>
    </sheetView>
  </sheetViews>
  <sheetFormatPr defaultRowHeight="14.25" x14ac:dyDescent="0.2"/>
  <cols>
    <col min="1" max="1" width="6" customWidth="1"/>
    <col min="2" max="2" width="15.875" customWidth="1"/>
    <col min="3" max="3" width="9.875" customWidth="1"/>
    <col min="4" max="4" width="14.125" customWidth="1"/>
    <col min="5" max="5" width="10.75" customWidth="1"/>
    <col min="6" max="6" width="9.875" customWidth="1"/>
    <col min="7" max="7" width="9.75" customWidth="1"/>
    <col min="8" max="8" width="12.75" customWidth="1"/>
    <col min="9" max="9" width="11.125" customWidth="1"/>
    <col min="10" max="10" width="11.125" style="5" customWidth="1"/>
    <col min="11" max="19" width="11.125" style="2" customWidth="1"/>
    <col min="20" max="20" width="13.375" style="2" customWidth="1"/>
  </cols>
  <sheetData>
    <row r="1" spans="1:20" ht="15.75" x14ac:dyDescent="0.2">
      <c r="A1" s="4" t="s">
        <v>1575</v>
      </c>
      <c r="B1" s="4" t="s">
        <v>1570</v>
      </c>
      <c r="C1" s="4" t="s">
        <v>1571</v>
      </c>
      <c r="D1" s="4" t="s">
        <v>1595</v>
      </c>
      <c r="E1" s="4" t="s">
        <v>1572</v>
      </c>
      <c r="F1" s="4" t="s">
        <v>1573</v>
      </c>
      <c r="G1" s="4" t="s">
        <v>1574</v>
      </c>
      <c r="H1" s="4" t="s">
        <v>1613</v>
      </c>
      <c r="I1" s="4" t="s">
        <v>1611</v>
      </c>
      <c r="J1" s="4" t="s">
        <v>1612</v>
      </c>
      <c r="K1" s="9" t="s">
        <v>1589</v>
      </c>
      <c r="L1" s="9" t="s">
        <v>1590</v>
      </c>
      <c r="M1" s="9" t="s">
        <v>1591</v>
      </c>
      <c r="N1" s="9" t="s">
        <v>1605</v>
      </c>
      <c r="O1" s="9" t="s">
        <v>1592</v>
      </c>
      <c r="P1" s="9" t="s">
        <v>1604</v>
      </c>
      <c r="Q1" s="9" t="s">
        <v>1593</v>
      </c>
      <c r="R1" s="9" t="s">
        <v>1594</v>
      </c>
      <c r="S1" s="9" t="s">
        <v>2565</v>
      </c>
      <c r="T1" s="9" t="s">
        <v>1596</v>
      </c>
    </row>
    <row r="2" spans="1:20" x14ac:dyDescent="0.2">
      <c r="A2" s="6">
        <v>1</v>
      </c>
      <c r="B2" s="6" t="s">
        <v>947</v>
      </c>
      <c r="C2" s="6" t="s">
        <v>1576</v>
      </c>
      <c r="D2" s="8">
        <v>45450</v>
      </c>
      <c r="E2" s="6" t="s">
        <v>1580</v>
      </c>
      <c r="F2" s="6"/>
      <c r="G2" s="6"/>
      <c r="H2" s="6" t="s">
        <v>1586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</row>
    <row r="3" spans="1:20" x14ac:dyDescent="0.2">
      <c r="A3" s="6">
        <v>2</v>
      </c>
      <c r="B3" s="6" t="s">
        <v>1092</v>
      </c>
      <c r="C3" s="6" t="s">
        <v>1576</v>
      </c>
      <c r="D3" s="8">
        <v>45637</v>
      </c>
      <c r="E3" s="6" t="s">
        <v>1580</v>
      </c>
      <c r="F3" s="6"/>
      <c r="G3" s="6"/>
      <c r="H3" s="6" t="s">
        <v>1587</v>
      </c>
      <c r="I3" s="6">
        <v>0</v>
      </c>
      <c r="J3" s="6">
        <v>0</v>
      </c>
      <c r="K3" s="6">
        <v>0</v>
      </c>
      <c r="L3" s="6" t="s">
        <v>1587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 t="s">
        <v>1587</v>
      </c>
      <c r="S3" s="6">
        <v>1</v>
      </c>
      <c r="T3" s="6" t="s">
        <v>1587</v>
      </c>
    </row>
    <row r="4" spans="1:20" x14ac:dyDescent="0.2">
      <c r="A4" s="6">
        <v>3</v>
      </c>
      <c r="B4" s="6" t="s">
        <v>246</v>
      </c>
      <c r="C4" s="6" t="s">
        <v>1576</v>
      </c>
      <c r="D4" s="8">
        <v>45639</v>
      </c>
      <c r="E4" s="6" t="s">
        <v>1580</v>
      </c>
      <c r="F4" s="6"/>
      <c r="G4" s="6"/>
      <c r="H4" s="6" t="s">
        <v>1586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1</v>
      </c>
      <c r="T4" s="6">
        <v>0</v>
      </c>
    </row>
    <row r="5" spans="1:20" x14ac:dyDescent="0.2">
      <c r="A5" s="6">
        <v>4</v>
      </c>
      <c r="B5" s="6" t="s">
        <v>1095</v>
      </c>
      <c r="C5" s="6" t="s">
        <v>1576</v>
      </c>
      <c r="D5" s="8">
        <v>45659</v>
      </c>
      <c r="E5" s="6" t="s">
        <v>1580</v>
      </c>
      <c r="F5" s="6"/>
      <c r="G5" s="6"/>
      <c r="H5" s="6" t="s">
        <v>1587</v>
      </c>
      <c r="I5" s="6">
        <v>0</v>
      </c>
      <c r="J5" s="6">
        <v>0</v>
      </c>
      <c r="K5" s="6">
        <v>1</v>
      </c>
      <c r="L5" s="6" t="s">
        <v>1587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 t="s">
        <v>1587</v>
      </c>
      <c r="S5" s="6">
        <v>1</v>
      </c>
      <c r="T5" s="6" t="s">
        <v>1587</v>
      </c>
    </row>
    <row r="6" spans="1:20" x14ac:dyDescent="0.2">
      <c r="A6" s="6">
        <v>5</v>
      </c>
      <c r="B6" s="6" t="s">
        <v>1076</v>
      </c>
      <c r="C6" s="6" t="s">
        <v>1576</v>
      </c>
      <c r="D6" s="8">
        <v>45659</v>
      </c>
      <c r="E6" s="6" t="s">
        <v>1580</v>
      </c>
      <c r="F6" s="6"/>
      <c r="G6" s="6"/>
      <c r="H6" s="6" t="s">
        <v>1587</v>
      </c>
      <c r="I6" s="6">
        <v>0</v>
      </c>
      <c r="J6" s="6">
        <v>0</v>
      </c>
      <c r="K6" s="6">
        <v>1</v>
      </c>
      <c r="L6" s="6" t="s">
        <v>1587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 t="s">
        <v>1587</v>
      </c>
      <c r="S6" s="6">
        <v>1</v>
      </c>
      <c r="T6" s="6" t="s">
        <v>1587</v>
      </c>
    </row>
    <row r="7" spans="1:20" x14ac:dyDescent="0.2">
      <c r="A7" s="6">
        <v>6</v>
      </c>
      <c r="B7" s="6" t="s">
        <v>211</v>
      </c>
      <c r="C7" s="6" t="s">
        <v>1576</v>
      </c>
      <c r="D7" s="8">
        <v>45666</v>
      </c>
      <c r="E7" s="6" t="s">
        <v>1580</v>
      </c>
      <c r="F7" s="6"/>
      <c r="G7" s="6"/>
      <c r="H7" s="6" t="s">
        <v>1586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1</v>
      </c>
      <c r="T7" s="6">
        <v>0</v>
      </c>
    </row>
    <row r="8" spans="1:20" x14ac:dyDescent="0.2">
      <c r="A8" s="6">
        <v>7</v>
      </c>
      <c r="B8" s="6" t="s">
        <v>991</v>
      </c>
      <c r="C8" s="6" t="s">
        <v>1576</v>
      </c>
      <c r="D8" s="8">
        <v>45696</v>
      </c>
      <c r="E8" s="6" t="s">
        <v>1580</v>
      </c>
      <c r="F8" s="6"/>
      <c r="G8" s="6"/>
      <c r="H8" s="6" t="s">
        <v>1586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1</v>
      </c>
      <c r="T8" s="6">
        <v>0</v>
      </c>
    </row>
    <row r="9" spans="1:20" x14ac:dyDescent="0.2">
      <c r="A9" s="6">
        <v>8</v>
      </c>
      <c r="B9" s="6" t="s">
        <v>373</v>
      </c>
      <c r="C9" s="6" t="s">
        <v>1576</v>
      </c>
      <c r="D9" s="8">
        <v>45783</v>
      </c>
      <c r="E9" s="6" t="s">
        <v>1580</v>
      </c>
      <c r="F9" s="6"/>
      <c r="G9" s="6"/>
      <c r="H9" s="6" t="s">
        <v>1586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</v>
      </c>
      <c r="T9" s="6" t="s">
        <v>1598</v>
      </c>
    </row>
    <row r="10" spans="1:20" x14ac:dyDescent="0.2">
      <c r="A10" s="6">
        <v>9</v>
      </c>
      <c r="B10" s="6" t="s">
        <v>449</v>
      </c>
      <c r="C10" s="6" t="s">
        <v>1576</v>
      </c>
      <c r="D10" s="8">
        <v>45783</v>
      </c>
      <c r="E10" s="6" t="s">
        <v>1580</v>
      </c>
      <c r="F10" s="6"/>
      <c r="G10" s="6"/>
      <c r="H10" s="6" t="s">
        <v>1586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 t="s">
        <v>1598</v>
      </c>
    </row>
    <row r="11" spans="1:20" x14ac:dyDescent="0.2">
      <c r="A11" s="6">
        <v>10</v>
      </c>
      <c r="B11" s="6" t="s">
        <v>1409</v>
      </c>
      <c r="C11" s="6" t="s">
        <v>1576</v>
      </c>
      <c r="D11" s="8">
        <v>45798</v>
      </c>
      <c r="E11" s="6" t="s">
        <v>1580</v>
      </c>
      <c r="F11" s="6"/>
      <c r="G11" s="6"/>
      <c r="H11" s="6" t="s">
        <v>1587</v>
      </c>
      <c r="I11" s="6">
        <v>1</v>
      </c>
      <c r="J11" s="6" t="s">
        <v>1597</v>
      </c>
      <c r="K11" s="6">
        <v>1</v>
      </c>
      <c r="L11" s="6" t="s">
        <v>1587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 t="s">
        <v>1587</v>
      </c>
      <c r="S11" s="6">
        <v>1</v>
      </c>
      <c r="T11" s="6" t="s">
        <v>1587</v>
      </c>
    </row>
    <row r="12" spans="1:20" x14ac:dyDescent="0.2">
      <c r="A12" s="6">
        <v>11</v>
      </c>
      <c r="B12" s="6" t="s">
        <v>309</v>
      </c>
      <c r="C12" s="6" t="s">
        <v>1576</v>
      </c>
      <c r="D12" s="8">
        <v>45805</v>
      </c>
      <c r="E12" s="6" t="s">
        <v>1580</v>
      </c>
      <c r="F12" s="6"/>
      <c r="G12" s="6"/>
      <c r="H12" s="6" t="s">
        <v>1586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1</v>
      </c>
      <c r="T12" s="6" t="s">
        <v>1598</v>
      </c>
    </row>
    <row r="13" spans="1:20" x14ac:dyDescent="0.2">
      <c r="A13" s="6">
        <v>12</v>
      </c>
      <c r="B13" s="6" t="s">
        <v>622</v>
      </c>
      <c r="C13" s="6" t="s">
        <v>1576</v>
      </c>
      <c r="D13" s="8">
        <v>45807</v>
      </c>
      <c r="E13" s="6" t="s">
        <v>1580</v>
      </c>
      <c r="F13" s="6"/>
      <c r="G13" s="6"/>
      <c r="H13" s="6" t="s">
        <v>1588</v>
      </c>
      <c r="I13" s="6">
        <v>1</v>
      </c>
      <c r="J13" s="6" t="s">
        <v>1599</v>
      </c>
      <c r="K13" s="6">
        <v>1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10" t="s">
        <v>1600</v>
      </c>
    </row>
    <row r="14" spans="1:20" x14ac:dyDescent="0.2">
      <c r="A14" s="6">
        <v>13</v>
      </c>
      <c r="B14" s="6" t="s">
        <v>961</v>
      </c>
      <c r="C14" s="6" t="s">
        <v>1576</v>
      </c>
      <c r="D14" s="8">
        <v>45813</v>
      </c>
      <c r="E14" s="6" t="s">
        <v>1580</v>
      </c>
      <c r="F14" s="6"/>
      <c r="G14" s="6"/>
      <c r="H14" s="6" t="s">
        <v>1586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 t="s">
        <v>1598</v>
      </c>
    </row>
    <row r="15" spans="1:20" x14ac:dyDescent="0.2">
      <c r="A15" s="6">
        <v>14</v>
      </c>
      <c r="B15" s="6" t="s">
        <v>134</v>
      </c>
      <c r="C15" s="6" t="s">
        <v>1576</v>
      </c>
      <c r="D15" s="8">
        <v>45853</v>
      </c>
      <c r="E15" s="6" t="s">
        <v>1580</v>
      </c>
      <c r="F15" s="6"/>
      <c r="G15" s="6"/>
      <c r="H15" s="6" t="s">
        <v>1586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</v>
      </c>
      <c r="T15" s="6" t="s">
        <v>1598</v>
      </c>
    </row>
    <row r="16" spans="1:20" x14ac:dyDescent="0.2">
      <c r="A16" s="6">
        <v>15</v>
      </c>
      <c r="B16" s="6" t="s">
        <v>493</v>
      </c>
      <c r="C16" s="6" t="s">
        <v>1576</v>
      </c>
      <c r="D16" s="8">
        <v>45856</v>
      </c>
      <c r="E16" s="6" t="s">
        <v>1580</v>
      </c>
      <c r="F16" s="6"/>
      <c r="G16" s="6"/>
      <c r="H16" s="6" t="s">
        <v>1586</v>
      </c>
      <c r="I16" s="6">
        <v>0</v>
      </c>
      <c r="J16" s="6">
        <v>0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 t="s">
        <v>1598</v>
      </c>
    </row>
    <row r="17" spans="1:20" x14ac:dyDescent="0.2">
      <c r="A17" s="6">
        <v>16</v>
      </c>
      <c r="B17" s="6" t="s">
        <v>1601</v>
      </c>
      <c r="C17" s="6" t="s">
        <v>1576</v>
      </c>
      <c r="D17" s="8">
        <v>45856</v>
      </c>
      <c r="E17" s="6" t="s">
        <v>1580</v>
      </c>
      <c r="F17" s="6"/>
      <c r="G17" s="6"/>
      <c r="H17" s="6" t="s">
        <v>1586</v>
      </c>
      <c r="I17" s="6">
        <v>0</v>
      </c>
      <c r="J17" s="6">
        <v>0</v>
      </c>
      <c r="K17" s="6">
        <v>1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 t="s">
        <v>1598</v>
      </c>
    </row>
    <row r="18" spans="1:20" x14ac:dyDescent="0.2">
      <c r="A18" s="6">
        <v>17</v>
      </c>
      <c r="B18" s="6" t="s">
        <v>1565</v>
      </c>
      <c r="C18" s="6" t="s">
        <v>1576</v>
      </c>
      <c r="D18" s="8">
        <v>45895</v>
      </c>
      <c r="E18" s="6" t="s">
        <v>1580</v>
      </c>
      <c r="F18" s="6"/>
      <c r="G18" s="6"/>
      <c r="H18" s="6" t="s">
        <v>1586</v>
      </c>
      <c r="I18" s="6">
        <v>0</v>
      </c>
      <c r="J18" s="6">
        <v>0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 t="s">
        <v>1598</v>
      </c>
    </row>
    <row r="19" spans="1:20" x14ac:dyDescent="0.2">
      <c r="A19" s="6">
        <v>18</v>
      </c>
      <c r="B19" s="6" t="s">
        <v>1579</v>
      </c>
      <c r="C19" s="6" t="s">
        <v>1576</v>
      </c>
      <c r="D19" s="8">
        <v>45903</v>
      </c>
      <c r="E19" s="6" t="s">
        <v>1580</v>
      </c>
      <c r="F19" s="6"/>
      <c r="G19" s="6"/>
      <c r="H19" s="6" t="s">
        <v>1586</v>
      </c>
      <c r="I19" s="6">
        <v>1</v>
      </c>
      <c r="J19" s="6" t="s">
        <v>1602</v>
      </c>
      <c r="K19" s="6">
        <v>1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10">
        <v>0</v>
      </c>
    </row>
    <row r="20" spans="1:20" x14ac:dyDescent="0.2">
      <c r="A20" s="6">
        <v>19</v>
      </c>
      <c r="B20" s="6" t="s">
        <v>1617</v>
      </c>
      <c r="C20" s="6" t="s">
        <v>1576</v>
      </c>
      <c r="D20" s="8">
        <v>45904</v>
      </c>
      <c r="E20" s="6" t="s">
        <v>1580</v>
      </c>
      <c r="F20" s="6"/>
      <c r="G20" s="6"/>
      <c r="H20" s="6" t="s">
        <v>1587</v>
      </c>
      <c r="I20" s="6">
        <v>0</v>
      </c>
      <c r="J20" s="6">
        <v>0</v>
      </c>
      <c r="K20" s="6">
        <v>1</v>
      </c>
      <c r="L20" s="6" t="s">
        <v>1587</v>
      </c>
      <c r="M20" s="6">
        <v>0</v>
      </c>
      <c r="N20" s="6" t="s">
        <v>1587</v>
      </c>
      <c r="O20" s="6" t="s">
        <v>1587</v>
      </c>
      <c r="P20" s="6">
        <v>0</v>
      </c>
      <c r="Q20" s="6">
        <v>0</v>
      </c>
      <c r="R20" s="6" t="s">
        <v>1587</v>
      </c>
      <c r="S20" s="6">
        <v>1</v>
      </c>
      <c r="T20" s="6" t="s">
        <v>1587</v>
      </c>
    </row>
    <row r="21" spans="1:20" x14ac:dyDescent="0.2">
      <c r="A21" s="6">
        <v>19</v>
      </c>
      <c r="B21" s="6" t="s">
        <v>10</v>
      </c>
      <c r="C21" s="6" t="s">
        <v>1576</v>
      </c>
      <c r="D21" s="8">
        <v>45904</v>
      </c>
      <c r="E21" s="6" t="s">
        <v>1580</v>
      </c>
      <c r="F21" s="6"/>
      <c r="G21" s="6"/>
      <c r="H21" s="6" t="s">
        <v>1587</v>
      </c>
      <c r="I21" s="6">
        <v>0</v>
      </c>
      <c r="J21" s="6">
        <v>0</v>
      </c>
      <c r="K21" s="6">
        <v>1</v>
      </c>
      <c r="L21" s="6" t="s">
        <v>1587</v>
      </c>
      <c r="M21" s="6">
        <v>0</v>
      </c>
      <c r="N21" s="6" t="s">
        <v>1587</v>
      </c>
      <c r="O21" s="6" t="s">
        <v>1587</v>
      </c>
      <c r="P21" s="6">
        <v>0</v>
      </c>
      <c r="Q21" s="6">
        <v>0</v>
      </c>
      <c r="R21" s="6" t="s">
        <v>1587</v>
      </c>
      <c r="S21" s="6">
        <v>1</v>
      </c>
      <c r="T21" s="6" t="s">
        <v>1587</v>
      </c>
    </row>
    <row r="22" spans="1:20" x14ac:dyDescent="0.2">
      <c r="A22" s="6">
        <v>20</v>
      </c>
      <c r="B22" s="6" t="s">
        <v>1618</v>
      </c>
      <c r="C22" s="6" t="s">
        <v>1576</v>
      </c>
      <c r="D22" s="8">
        <v>45911</v>
      </c>
      <c r="E22" s="6" t="s">
        <v>1580</v>
      </c>
      <c r="F22" s="6" t="s">
        <v>1576</v>
      </c>
      <c r="G22" s="6" t="s">
        <v>1576</v>
      </c>
      <c r="H22" s="6" t="s">
        <v>1586</v>
      </c>
      <c r="I22" s="6">
        <v>1</v>
      </c>
      <c r="J22" s="6" t="s">
        <v>1603</v>
      </c>
      <c r="K22" s="6">
        <v>1</v>
      </c>
      <c r="L22" s="6">
        <v>1</v>
      </c>
      <c r="M22" s="6">
        <v>1</v>
      </c>
      <c r="N22" s="6">
        <v>1</v>
      </c>
      <c r="O22" s="6">
        <v>0</v>
      </c>
      <c r="P22" s="6">
        <v>1</v>
      </c>
      <c r="Q22" s="6">
        <v>1</v>
      </c>
      <c r="R22" s="6">
        <v>0</v>
      </c>
      <c r="S22" s="6">
        <v>1</v>
      </c>
      <c r="T22" s="6" t="s">
        <v>1598</v>
      </c>
    </row>
    <row r="23" spans="1:20" x14ac:dyDescent="0.2">
      <c r="A23" s="6">
        <v>21</v>
      </c>
      <c r="B23" s="6" t="s">
        <v>1561</v>
      </c>
      <c r="C23" s="6" t="s">
        <v>1576</v>
      </c>
      <c r="D23" s="8">
        <v>45929</v>
      </c>
      <c r="E23" s="6" t="s">
        <v>1580</v>
      </c>
      <c r="F23" s="6" t="s">
        <v>1585</v>
      </c>
      <c r="G23" s="6" t="s">
        <v>1585</v>
      </c>
      <c r="H23" s="6" t="s">
        <v>1586</v>
      </c>
      <c r="I23" s="6">
        <v>1</v>
      </c>
      <c r="J23" s="6" t="s">
        <v>1606</v>
      </c>
      <c r="K23" s="6">
        <v>1</v>
      </c>
      <c r="L23" s="6">
        <v>1</v>
      </c>
      <c r="M23" s="6">
        <v>1</v>
      </c>
      <c r="N23" s="6">
        <v>1</v>
      </c>
      <c r="O23" s="6">
        <v>0</v>
      </c>
      <c r="P23" s="6">
        <v>1</v>
      </c>
      <c r="Q23" s="6">
        <v>0</v>
      </c>
      <c r="R23" s="6">
        <v>0</v>
      </c>
      <c r="S23" s="6">
        <v>1</v>
      </c>
      <c r="T23" s="6" t="s">
        <v>1598</v>
      </c>
    </row>
    <row r="24" spans="1:20" x14ac:dyDescent="0.2">
      <c r="A24" s="6">
        <v>22</v>
      </c>
      <c r="B24" s="6" t="s">
        <v>1562</v>
      </c>
      <c r="C24" s="6" t="s">
        <v>1576</v>
      </c>
      <c r="D24" s="8">
        <v>45961</v>
      </c>
      <c r="E24" s="6" t="s">
        <v>1580</v>
      </c>
      <c r="F24" s="6"/>
      <c r="G24" s="6"/>
      <c r="H24" s="6" t="s">
        <v>1586</v>
      </c>
      <c r="I24" s="6">
        <v>1</v>
      </c>
      <c r="J24" s="6" t="s">
        <v>1606</v>
      </c>
      <c r="K24" s="6">
        <v>1</v>
      </c>
      <c r="L24" s="6">
        <v>1</v>
      </c>
      <c r="M24" s="6">
        <v>1</v>
      </c>
      <c r="N24" s="6">
        <v>1</v>
      </c>
      <c r="O24" s="6">
        <v>0</v>
      </c>
      <c r="P24" s="6">
        <v>1</v>
      </c>
      <c r="Q24" s="6">
        <v>0</v>
      </c>
      <c r="R24" s="6">
        <v>0</v>
      </c>
      <c r="S24" s="6">
        <v>1</v>
      </c>
      <c r="T24" s="10" t="s">
        <v>1600</v>
      </c>
    </row>
    <row r="25" spans="1:20" x14ac:dyDescent="0.2">
      <c r="A25" s="6">
        <v>23</v>
      </c>
      <c r="B25" s="6" t="s">
        <v>1563</v>
      </c>
      <c r="C25" s="6" t="s">
        <v>1576</v>
      </c>
      <c r="D25" s="8">
        <v>45961</v>
      </c>
      <c r="E25" s="6" t="s">
        <v>1580</v>
      </c>
      <c r="F25" s="6"/>
      <c r="G25" s="6"/>
      <c r="H25" s="6" t="s">
        <v>1586</v>
      </c>
      <c r="I25" s="6">
        <v>1</v>
      </c>
      <c r="J25" s="6" t="s">
        <v>1606</v>
      </c>
      <c r="K25" s="6">
        <v>1</v>
      </c>
      <c r="L25" s="6">
        <v>1</v>
      </c>
      <c r="M25" s="6">
        <v>1</v>
      </c>
      <c r="N25" s="6">
        <v>1</v>
      </c>
      <c r="O25" s="6">
        <v>0</v>
      </c>
      <c r="P25" s="6">
        <v>1</v>
      </c>
      <c r="Q25" s="6">
        <v>0</v>
      </c>
      <c r="R25" s="6">
        <v>0</v>
      </c>
      <c r="S25" s="6">
        <v>1</v>
      </c>
      <c r="T25" s="10" t="s">
        <v>1600</v>
      </c>
    </row>
    <row r="26" spans="1:20" x14ac:dyDescent="0.2">
      <c r="A26" s="6">
        <v>24</v>
      </c>
      <c r="B26" s="6" t="s">
        <v>1559</v>
      </c>
      <c r="C26" s="6" t="s">
        <v>1576</v>
      </c>
      <c r="D26" s="8">
        <v>46003</v>
      </c>
      <c r="E26" s="6" t="s">
        <v>1582</v>
      </c>
      <c r="F26" s="3"/>
      <c r="G26" s="6"/>
      <c r="H26" s="6" t="s">
        <v>1586</v>
      </c>
      <c r="I26" s="6">
        <v>1</v>
      </c>
      <c r="J26" s="6" t="s">
        <v>1607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6" t="s">
        <v>1598</v>
      </c>
    </row>
    <row r="27" spans="1:20" x14ac:dyDescent="0.2">
      <c r="A27" s="6">
        <v>25</v>
      </c>
      <c r="B27" s="6" t="s">
        <v>1403</v>
      </c>
      <c r="C27" s="6" t="s">
        <v>1576</v>
      </c>
      <c r="D27" s="8">
        <v>46009</v>
      </c>
      <c r="E27" s="6" t="s">
        <v>1582</v>
      </c>
      <c r="F27" s="6" t="s">
        <v>1576</v>
      </c>
      <c r="G27" s="6" t="s">
        <v>1576</v>
      </c>
      <c r="H27" s="6" t="s">
        <v>1588</v>
      </c>
      <c r="I27" s="6">
        <v>0</v>
      </c>
      <c r="J27" s="6">
        <v>0</v>
      </c>
      <c r="K27" s="6">
        <v>1</v>
      </c>
      <c r="L27" s="6">
        <v>1</v>
      </c>
      <c r="M27" s="6">
        <v>1</v>
      </c>
      <c r="N27" s="6">
        <v>1</v>
      </c>
      <c r="O27" s="6">
        <v>0</v>
      </c>
      <c r="P27" s="6">
        <v>1</v>
      </c>
      <c r="Q27" s="6">
        <v>0</v>
      </c>
      <c r="R27" s="6">
        <v>1</v>
      </c>
      <c r="S27" s="6">
        <v>1</v>
      </c>
      <c r="T27" s="6" t="s">
        <v>1598</v>
      </c>
    </row>
    <row r="28" spans="1:20" x14ac:dyDescent="0.2">
      <c r="A28" s="6">
        <v>26</v>
      </c>
      <c r="B28" s="6" t="s">
        <v>1257</v>
      </c>
      <c r="C28" s="6" t="s">
        <v>1584</v>
      </c>
      <c r="D28" s="6"/>
      <c r="E28" s="6" t="s">
        <v>1581</v>
      </c>
      <c r="F28" s="6" t="s">
        <v>1576</v>
      </c>
      <c r="G28" s="6" t="s">
        <v>1576</v>
      </c>
      <c r="H28" s="6" t="s">
        <v>1586</v>
      </c>
      <c r="I28" s="6">
        <v>1</v>
      </c>
      <c r="J28" s="6" t="s">
        <v>1606</v>
      </c>
      <c r="K28" s="6">
        <v>1</v>
      </c>
      <c r="L28" s="6">
        <v>1</v>
      </c>
      <c r="M28" s="6">
        <v>1</v>
      </c>
      <c r="N28" s="6">
        <v>1</v>
      </c>
      <c r="O28" s="6">
        <v>0</v>
      </c>
      <c r="P28" s="6">
        <v>1</v>
      </c>
      <c r="Q28" s="6">
        <v>0</v>
      </c>
      <c r="R28" s="6">
        <v>0</v>
      </c>
      <c r="S28" s="6">
        <v>1</v>
      </c>
      <c r="T28" s="10" t="s">
        <v>1600</v>
      </c>
    </row>
    <row r="29" spans="1:20" x14ac:dyDescent="0.2">
      <c r="A29" s="6">
        <v>27</v>
      </c>
      <c r="B29" s="6" t="s">
        <v>1454</v>
      </c>
      <c r="C29" s="6" t="s">
        <v>1584</v>
      </c>
      <c r="D29" s="6"/>
      <c r="E29" s="6" t="s">
        <v>1583</v>
      </c>
      <c r="F29" s="6"/>
      <c r="G29" s="6"/>
      <c r="H29" s="6" t="s">
        <v>1586</v>
      </c>
      <c r="I29" s="6">
        <v>1</v>
      </c>
      <c r="J29" s="6" t="s">
        <v>1603</v>
      </c>
      <c r="K29" s="6">
        <v>1</v>
      </c>
      <c r="L29" s="6">
        <v>1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10" t="s">
        <v>1600</v>
      </c>
    </row>
    <row r="30" spans="1:20" x14ac:dyDescent="0.2">
      <c r="A30" s="6">
        <v>28</v>
      </c>
      <c r="B30" s="6" t="s">
        <v>1567</v>
      </c>
      <c r="C30" s="6" t="s">
        <v>1584</v>
      </c>
      <c r="D30" s="6"/>
      <c r="E30" s="6" t="s">
        <v>1581</v>
      </c>
      <c r="F30" s="6" t="s">
        <v>1576</v>
      </c>
      <c r="G30" s="6" t="s">
        <v>1576</v>
      </c>
      <c r="H30" s="6" t="s">
        <v>1586</v>
      </c>
      <c r="I30" s="6">
        <v>1</v>
      </c>
      <c r="J30" s="6" t="s">
        <v>1606</v>
      </c>
      <c r="K30" s="6">
        <v>1</v>
      </c>
      <c r="L30" s="6">
        <v>1</v>
      </c>
      <c r="M30" s="6">
        <v>1</v>
      </c>
      <c r="N30" s="6">
        <v>0</v>
      </c>
      <c r="O30" s="6">
        <v>1</v>
      </c>
      <c r="P30" s="6">
        <v>1</v>
      </c>
      <c r="Q30" s="6">
        <v>0</v>
      </c>
      <c r="R30" s="6">
        <v>0</v>
      </c>
      <c r="S30" s="6">
        <v>1</v>
      </c>
      <c r="T30" s="10" t="s">
        <v>1600</v>
      </c>
    </row>
    <row r="31" spans="1:20" x14ac:dyDescent="0.2">
      <c r="A31" s="6">
        <v>29</v>
      </c>
      <c r="B31" s="6" t="s">
        <v>1609</v>
      </c>
      <c r="C31" s="6" t="s">
        <v>1584</v>
      </c>
      <c r="D31" s="6"/>
      <c r="E31" s="6" t="s">
        <v>1583</v>
      </c>
      <c r="F31" s="6"/>
      <c r="G31" s="6"/>
      <c r="H31" s="6" t="s">
        <v>1587</v>
      </c>
      <c r="I31" s="6">
        <v>1</v>
      </c>
      <c r="J31" s="6" t="s">
        <v>1608</v>
      </c>
      <c r="K31" s="6">
        <v>1</v>
      </c>
      <c r="L31" s="6" t="s">
        <v>1587</v>
      </c>
      <c r="M31" s="6">
        <v>0</v>
      </c>
      <c r="N31" s="6">
        <v>0</v>
      </c>
      <c r="O31" s="6" t="s">
        <v>1587</v>
      </c>
      <c r="P31" s="6">
        <v>0</v>
      </c>
      <c r="Q31" s="6">
        <v>0</v>
      </c>
      <c r="R31" s="6">
        <v>0</v>
      </c>
      <c r="S31" s="6">
        <v>1</v>
      </c>
      <c r="T31" s="6" t="s">
        <v>1587</v>
      </c>
    </row>
    <row r="32" spans="1:20" x14ac:dyDescent="0.2">
      <c r="A32" s="6">
        <v>30</v>
      </c>
      <c r="B32" s="6" t="s">
        <v>1610</v>
      </c>
      <c r="C32" s="6" t="s">
        <v>1584</v>
      </c>
      <c r="D32" s="6"/>
      <c r="E32" s="6" t="s">
        <v>1583</v>
      </c>
      <c r="F32" s="6"/>
      <c r="G32" s="6"/>
      <c r="H32" s="6" t="s">
        <v>1587</v>
      </c>
      <c r="I32" s="6">
        <v>1</v>
      </c>
      <c r="J32" s="6" t="s">
        <v>1608</v>
      </c>
      <c r="K32" s="6">
        <v>1</v>
      </c>
      <c r="L32" s="6" t="s">
        <v>1587</v>
      </c>
      <c r="M32" s="6">
        <v>0</v>
      </c>
      <c r="N32" s="6">
        <v>0</v>
      </c>
      <c r="O32" s="6" t="s">
        <v>1587</v>
      </c>
      <c r="P32" s="6">
        <v>0</v>
      </c>
      <c r="Q32" s="6">
        <v>0</v>
      </c>
      <c r="R32" s="6">
        <v>0</v>
      </c>
      <c r="S32" s="6">
        <v>1</v>
      </c>
      <c r="T32" s="6" t="s">
        <v>1587</v>
      </c>
    </row>
    <row r="33" spans="1:20" x14ac:dyDescent="0.2">
      <c r="A33" s="6">
        <v>31</v>
      </c>
      <c r="B33" s="6" t="s">
        <v>1568</v>
      </c>
      <c r="C33" s="6" t="s">
        <v>1584</v>
      </c>
      <c r="D33" s="6"/>
      <c r="E33" s="6" t="s">
        <v>1581</v>
      </c>
      <c r="F33" s="6"/>
      <c r="G33" s="6"/>
      <c r="H33" s="6" t="s">
        <v>1587</v>
      </c>
      <c r="I33" s="6">
        <v>1</v>
      </c>
      <c r="J33" s="6" t="s">
        <v>1608</v>
      </c>
      <c r="K33" s="6">
        <v>1</v>
      </c>
      <c r="L33" s="6" t="s">
        <v>1587</v>
      </c>
      <c r="M33" s="6">
        <v>0</v>
      </c>
      <c r="N33" s="6">
        <v>0</v>
      </c>
      <c r="O33" s="6" t="s">
        <v>1587</v>
      </c>
      <c r="P33" s="6">
        <v>0</v>
      </c>
      <c r="Q33" s="6">
        <v>1</v>
      </c>
      <c r="R33" s="6">
        <v>0</v>
      </c>
      <c r="S33" s="6">
        <v>1</v>
      </c>
      <c r="T33" s="6" t="s">
        <v>1587</v>
      </c>
    </row>
    <row r="34" spans="1:20" x14ac:dyDescent="0.2">
      <c r="A34" s="6">
        <v>32</v>
      </c>
      <c r="B34" s="6" t="s">
        <v>1569</v>
      </c>
      <c r="C34" s="6" t="s">
        <v>1584</v>
      </c>
      <c r="D34" s="6"/>
      <c r="E34" s="6" t="s">
        <v>1583</v>
      </c>
      <c r="F34" s="6" t="s">
        <v>1576</v>
      </c>
      <c r="G34" s="6" t="s">
        <v>1576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>
        <v>1</v>
      </c>
      <c r="T34" s="6"/>
    </row>
    <row r="35" spans="1:20" x14ac:dyDescent="0.2">
      <c r="B35" s="6" t="s">
        <v>2508</v>
      </c>
    </row>
    <row r="36" spans="1:20" x14ac:dyDescent="0.2">
      <c r="B36" s="6" t="s">
        <v>2510</v>
      </c>
    </row>
    <row r="37" spans="1:20" x14ac:dyDescent="0.2">
      <c r="B37" s="6" t="s">
        <v>2512</v>
      </c>
    </row>
    <row r="38" spans="1:20" x14ac:dyDescent="0.2">
      <c r="B38" s="6" t="s">
        <v>2514</v>
      </c>
    </row>
    <row r="39" spans="1:20" x14ac:dyDescent="0.2">
      <c r="B39" s="6" t="s">
        <v>2518</v>
      </c>
    </row>
    <row r="40" spans="1:20" x14ac:dyDescent="0.2">
      <c r="B40" s="6" t="s">
        <v>2522</v>
      </c>
    </row>
    <row r="41" spans="1:20" x14ac:dyDescent="0.2">
      <c r="B41" s="6" t="s">
        <v>2525</v>
      </c>
    </row>
    <row r="42" spans="1:20" x14ac:dyDescent="0.2">
      <c r="B42" s="6" t="s">
        <v>2528</v>
      </c>
    </row>
    <row r="43" spans="1:20" x14ac:dyDescent="0.2">
      <c r="B43" s="6" t="s">
        <v>2529</v>
      </c>
    </row>
    <row r="44" spans="1:20" x14ac:dyDescent="0.2">
      <c r="B44" s="6" t="s">
        <v>2533</v>
      </c>
    </row>
    <row r="45" spans="1:20" x14ac:dyDescent="0.2">
      <c r="B45" s="6" t="s">
        <v>2535</v>
      </c>
    </row>
    <row r="46" spans="1:20" x14ac:dyDescent="0.2">
      <c r="A46" s="6"/>
      <c r="B46" s="6" t="s">
        <v>1615</v>
      </c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0"/>
    </row>
  </sheetData>
  <sortState xmlns:xlrd2="http://schemas.microsoft.com/office/spreadsheetml/2017/richdata2" ref="A2:R35">
    <sortCondition ref="D1:D35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4FED-6F39-4561-99EE-00AC181D0B1E}">
  <dimension ref="A1:V79"/>
  <sheetViews>
    <sheetView workbookViewId="0">
      <selection activeCell="I6" sqref="I6"/>
    </sheetView>
  </sheetViews>
  <sheetFormatPr defaultRowHeight="15" x14ac:dyDescent="0.25"/>
  <cols>
    <col min="1" max="1" width="9" style="13"/>
    <col min="2" max="3" width="17" style="13" customWidth="1"/>
    <col min="4" max="4" width="52.375" style="13" customWidth="1"/>
    <col min="5" max="5" width="5.25" style="13" customWidth="1"/>
    <col min="6" max="6" width="7.875" style="13" customWidth="1"/>
    <col min="7" max="7" width="13.125" style="13" customWidth="1"/>
    <col min="8" max="8" width="15.75" style="13" customWidth="1"/>
    <col min="9" max="9" width="5.25" style="13" customWidth="1"/>
    <col min="10" max="10" width="10.5" style="13" customWidth="1"/>
    <col min="11" max="11" width="13.125" style="13" customWidth="1"/>
    <col min="12" max="12" width="15.75" style="13" customWidth="1"/>
    <col min="13" max="13" width="21" style="13" customWidth="1"/>
    <col min="14" max="14" width="13.125" style="13" customWidth="1"/>
    <col min="15" max="15" width="10.5" style="13" customWidth="1"/>
    <col min="16" max="17" width="15.75" style="13" customWidth="1"/>
    <col min="18" max="18" width="10.5" style="13" customWidth="1"/>
    <col min="19" max="19" width="15.75" style="13" customWidth="1"/>
    <col min="20" max="20" width="13.125" style="13" customWidth="1"/>
    <col min="21" max="21" width="15.75" style="13" customWidth="1"/>
    <col min="22" max="22" width="21" style="13" customWidth="1"/>
    <col min="23" max="16384" width="9" style="13"/>
  </cols>
  <sheetData>
    <row r="1" spans="1:22" x14ac:dyDescent="0.25">
      <c r="A1" s="11" t="s">
        <v>1619</v>
      </c>
      <c r="B1" s="11" t="s">
        <v>1620</v>
      </c>
      <c r="C1" s="11" t="s">
        <v>1621</v>
      </c>
      <c r="D1" s="12" t="s">
        <v>1622</v>
      </c>
      <c r="E1" s="12" t="s">
        <v>1623</v>
      </c>
      <c r="F1" s="12" t="s">
        <v>1624</v>
      </c>
      <c r="G1" s="12" t="s">
        <v>1625</v>
      </c>
      <c r="H1" s="12" t="s">
        <v>1626</v>
      </c>
      <c r="I1" s="12" t="s">
        <v>1627</v>
      </c>
      <c r="J1" s="12" t="s">
        <v>1628</v>
      </c>
      <c r="K1" s="12" t="s">
        <v>1629</v>
      </c>
      <c r="L1" s="12" t="s">
        <v>1630</v>
      </c>
      <c r="M1" s="12" t="s">
        <v>1631</v>
      </c>
      <c r="N1" s="12" t="s">
        <v>1632</v>
      </c>
      <c r="O1" s="12" t="s">
        <v>1633</v>
      </c>
      <c r="P1" s="12" t="s">
        <v>1634</v>
      </c>
      <c r="Q1" s="12" t="s">
        <v>1635</v>
      </c>
      <c r="R1" s="12" t="s">
        <v>1636</v>
      </c>
      <c r="S1" s="12" t="s">
        <v>1637</v>
      </c>
      <c r="T1" s="12" t="s">
        <v>1638</v>
      </c>
      <c r="U1" s="12" t="s">
        <v>1639</v>
      </c>
      <c r="V1" s="12" t="s">
        <v>1640</v>
      </c>
    </row>
    <row r="2" spans="1:22" x14ac:dyDescent="0.25">
      <c r="A2" s="13">
        <v>1</v>
      </c>
      <c r="B2" s="13" t="str">
        <f t="shared" ref="B2:B33" si="0">IFERROR(LEFT(D2, SEARCH("_", D2) - 1), D2)</f>
        <v>KB01104</v>
      </c>
      <c r="C2" s="13">
        <f>IF(COUNTIF(SelfDeveloped!$B:$B, B2)&gt;0, 1, 0)</f>
        <v>1</v>
      </c>
      <c r="D2" s="13" t="s">
        <v>1641</v>
      </c>
      <c r="E2" s="13" t="s">
        <v>1642</v>
      </c>
      <c r="F2" s="13" t="s">
        <v>1643</v>
      </c>
      <c r="G2" s="13" t="s">
        <v>1644</v>
      </c>
      <c r="H2" s="13" t="s">
        <v>1645</v>
      </c>
      <c r="I2" s="13" t="s">
        <v>1646</v>
      </c>
      <c r="J2" s="13" t="s">
        <v>1647</v>
      </c>
      <c r="K2" s="13" t="s">
        <v>1648</v>
      </c>
      <c r="L2" s="13" t="s">
        <v>1649</v>
      </c>
      <c r="M2" s="13" t="s">
        <v>1650</v>
      </c>
      <c r="N2" s="13" t="s">
        <v>1651</v>
      </c>
      <c r="O2" s="13" t="s">
        <v>1652</v>
      </c>
      <c r="P2" s="13" t="s">
        <v>1653</v>
      </c>
      <c r="Q2" s="13" t="s">
        <v>1654</v>
      </c>
      <c r="R2" s="13" t="s">
        <v>1655</v>
      </c>
      <c r="S2" s="13" t="s">
        <v>1656</v>
      </c>
      <c r="T2" s="13" t="s">
        <v>1651</v>
      </c>
      <c r="U2" s="13" t="s">
        <v>1657</v>
      </c>
      <c r="V2" s="13" t="s">
        <v>1658</v>
      </c>
    </row>
    <row r="3" spans="1:22" x14ac:dyDescent="0.25">
      <c r="A3" s="13">
        <v>2</v>
      </c>
      <c r="B3" s="13" t="str">
        <f t="shared" si="0"/>
        <v>KB04122</v>
      </c>
      <c r="C3" s="13">
        <f>IF(COUNTIF(SelfDeveloped!$B:$B, B3)&gt;0, 1, 0)</f>
        <v>1</v>
      </c>
      <c r="D3" s="13" t="s">
        <v>1659</v>
      </c>
      <c r="E3" s="13" t="s">
        <v>1642</v>
      </c>
      <c r="F3" s="13" t="s">
        <v>1660</v>
      </c>
      <c r="G3" s="13" t="s">
        <v>1661</v>
      </c>
      <c r="H3" s="13" t="s">
        <v>1660</v>
      </c>
      <c r="I3" s="13" t="s">
        <v>1662</v>
      </c>
      <c r="J3" s="13" t="s">
        <v>1661</v>
      </c>
      <c r="K3" s="13" t="s">
        <v>1662</v>
      </c>
      <c r="L3" s="13" t="s">
        <v>1663</v>
      </c>
      <c r="M3" s="13" t="s">
        <v>1661</v>
      </c>
      <c r="N3" s="13" t="s">
        <v>1651</v>
      </c>
      <c r="O3" s="13" t="s">
        <v>1664</v>
      </c>
      <c r="P3" s="13" t="s">
        <v>1661</v>
      </c>
      <c r="Q3" s="13" t="s">
        <v>1664</v>
      </c>
      <c r="R3" s="13" t="s">
        <v>1665</v>
      </c>
      <c r="S3" s="13" t="s">
        <v>1651</v>
      </c>
      <c r="T3" s="13" t="s">
        <v>1651</v>
      </c>
      <c r="U3" s="13" t="s">
        <v>1666</v>
      </c>
      <c r="V3" s="13" t="s">
        <v>1667</v>
      </c>
    </row>
    <row r="4" spans="1:22" x14ac:dyDescent="0.25">
      <c r="A4" s="13">
        <v>3</v>
      </c>
      <c r="B4" s="13" t="str">
        <f t="shared" si="0"/>
        <v>KB04122-13A</v>
      </c>
      <c r="C4" s="13">
        <f>IF(COUNTIF(SelfDeveloped!$B:$B, B4)&gt;0, 1, 0)</f>
        <v>1</v>
      </c>
      <c r="D4" s="13" t="s">
        <v>1668</v>
      </c>
      <c r="E4" s="13" t="s">
        <v>1642</v>
      </c>
      <c r="F4" s="13" t="s">
        <v>1669</v>
      </c>
      <c r="G4" s="13" t="s">
        <v>1661</v>
      </c>
      <c r="H4" s="13" t="s">
        <v>1669</v>
      </c>
      <c r="I4" s="13" t="s">
        <v>1670</v>
      </c>
      <c r="J4" s="13" t="s">
        <v>1661</v>
      </c>
      <c r="K4" s="13" t="s">
        <v>1670</v>
      </c>
      <c r="L4" s="13" t="s">
        <v>1671</v>
      </c>
      <c r="M4" s="13" t="s">
        <v>1661</v>
      </c>
      <c r="N4" s="13" t="s">
        <v>1651</v>
      </c>
      <c r="O4" s="13" t="s">
        <v>1672</v>
      </c>
      <c r="P4" s="13" t="s">
        <v>1661</v>
      </c>
      <c r="Q4" s="13" t="s">
        <v>1672</v>
      </c>
      <c r="R4" s="13" t="s">
        <v>1673</v>
      </c>
      <c r="S4" s="13" t="s">
        <v>1651</v>
      </c>
      <c r="T4" s="13" t="s">
        <v>1651</v>
      </c>
      <c r="U4" s="13" t="s">
        <v>1674</v>
      </c>
      <c r="V4" s="13" t="s">
        <v>1675</v>
      </c>
    </row>
    <row r="5" spans="1:22" x14ac:dyDescent="0.25">
      <c r="A5" s="13">
        <v>4</v>
      </c>
      <c r="B5" s="13" t="str">
        <f t="shared" si="0"/>
        <v>KB02009</v>
      </c>
      <c r="C5" s="13">
        <f>IF(COUNTIF(SelfDeveloped!$B:$B, B5)&gt;0, 1, 0)</f>
        <v>0</v>
      </c>
      <c r="D5" s="13" t="s">
        <v>1676</v>
      </c>
      <c r="E5" s="13" t="s">
        <v>1642</v>
      </c>
      <c r="F5" s="13" t="s">
        <v>1677</v>
      </c>
      <c r="G5" s="13" t="s">
        <v>1678</v>
      </c>
      <c r="H5" s="13" t="s">
        <v>1679</v>
      </c>
      <c r="I5" s="13" t="s">
        <v>1680</v>
      </c>
      <c r="J5" s="13" t="s">
        <v>1681</v>
      </c>
      <c r="K5" s="13" t="s">
        <v>1682</v>
      </c>
      <c r="L5" s="13" t="s">
        <v>1683</v>
      </c>
      <c r="M5" s="13" t="s">
        <v>1684</v>
      </c>
      <c r="N5" s="13" t="s">
        <v>1651</v>
      </c>
      <c r="O5" s="13" t="s">
        <v>1685</v>
      </c>
      <c r="P5" s="13" t="s">
        <v>1686</v>
      </c>
      <c r="Q5" s="13" t="s">
        <v>1687</v>
      </c>
      <c r="R5" s="13" t="s">
        <v>1688</v>
      </c>
      <c r="S5" s="13" t="s">
        <v>1689</v>
      </c>
      <c r="T5" s="13" t="s">
        <v>1651</v>
      </c>
      <c r="U5" s="13" t="s">
        <v>1690</v>
      </c>
      <c r="V5" s="13" t="s">
        <v>1691</v>
      </c>
    </row>
    <row r="6" spans="1:22" x14ac:dyDescent="0.25">
      <c r="A6" s="13">
        <v>5</v>
      </c>
      <c r="B6" s="13" t="str">
        <f t="shared" si="0"/>
        <v>BK2006</v>
      </c>
      <c r="C6" s="13">
        <f>IF(COUNTIF(SelfDeveloped!$B:$B, B6)&gt;0, 1, 0)</f>
        <v>0</v>
      </c>
      <c r="D6" s="13" t="s">
        <v>1692</v>
      </c>
      <c r="E6" s="13" t="s">
        <v>1642</v>
      </c>
      <c r="F6" s="13" t="s">
        <v>1693</v>
      </c>
      <c r="G6" s="13" t="s">
        <v>1694</v>
      </c>
      <c r="H6" s="13" t="s">
        <v>1695</v>
      </c>
      <c r="I6" s="13" t="s">
        <v>1696</v>
      </c>
      <c r="J6" s="13" t="s">
        <v>1697</v>
      </c>
      <c r="K6" s="13" t="s">
        <v>1698</v>
      </c>
      <c r="L6" s="13" t="s">
        <v>1699</v>
      </c>
      <c r="M6" s="13" t="s">
        <v>1700</v>
      </c>
      <c r="N6" s="13" t="s">
        <v>1651</v>
      </c>
      <c r="O6" s="13" t="s">
        <v>1701</v>
      </c>
      <c r="P6" s="13" t="s">
        <v>1702</v>
      </c>
      <c r="Q6" s="13" t="s">
        <v>1703</v>
      </c>
      <c r="R6" s="13" t="s">
        <v>1704</v>
      </c>
      <c r="S6" s="13" t="s">
        <v>1705</v>
      </c>
      <c r="T6" s="13" t="s">
        <v>1651</v>
      </c>
      <c r="U6" s="13" t="s">
        <v>1706</v>
      </c>
      <c r="V6" s="13" t="s">
        <v>1707</v>
      </c>
    </row>
    <row r="7" spans="1:22" x14ac:dyDescent="0.25">
      <c r="A7" s="13">
        <v>6</v>
      </c>
      <c r="B7" s="13" t="str">
        <f t="shared" si="0"/>
        <v>MS02001</v>
      </c>
      <c r="C7" s="13">
        <f>IF(COUNTIF(SelfDeveloped!$B:$B, B7)&gt;0, 1, 0)</f>
        <v>0</v>
      </c>
      <c r="D7" s="13" t="s">
        <v>1708</v>
      </c>
      <c r="E7" s="13" t="s">
        <v>1709</v>
      </c>
      <c r="F7" s="13" t="s">
        <v>1710</v>
      </c>
      <c r="G7" s="13" t="s">
        <v>1711</v>
      </c>
      <c r="H7" s="13" t="s">
        <v>1712</v>
      </c>
      <c r="I7" s="13" t="s">
        <v>1713</v>
      </c>
      <c r="J7" s="13" t="s">
        <v>1714</v>
      </c>
      <c r="K7" s="13" t="s">
        <v>1715</v>
      </c>
      <c r="L7" s="13" t="s">
        <v>1716</v>
      </c>
      <c r="M7" s="13" t="s">
        <v>1717</v>
      </c>
      <c r="N7" s="13" t="s">
        <v>1651</v>
      </c>
      <c r="O7" s="13" t="s">
        <v>1718</v>
      </c>
      <c r="P7" s="13" t="s">
        <v>1719</v>
      </c>
      <c r="Q7" s="13" t="s">
        <v>1720</v>
      </c>
      <c r="R7" s="13" t="s">
        <v>1721</v>
      </c>
      <c r="S7" s="13" t="s">
        <v>1722</v>
      </c>
      <c r="T7" s="13" t="s">
        <v>1651</v>
      </c>
      <c r="U7" s="13" t="s">
        <v>1661</v>
      </c>
      <c r="V7" s="13" t="s">
        <v>1651</v>
      </c>
    </row>
    <row r="8" spans="1:22" x14ac:dyDescent="0.25">
      <c r="A8" s="13">
        <v>7</v>
      </c>
      <c r="B8" s="13" t="str">
        <f t="shared" si="0"/>
        <v>KB602</v>
      </c>
      <c r="C8" s="13">
        <f>IF(COUNTIF(SelfDeveloped!$B:$B, B8)&gt;0, 1, 0)</f>
        <v>1</v>
      </c>
      <c r="D8" s="13" t="s">
        <v>1723</v>
      </c>
      <c r="E8" s="13" t="s">
        <v>1642</v>
      </c>
      <c r="F8" s="13" t="s">
        <v>1724</v>
      </c>
      <c r="G8" s="13" t="s">
        <v>1661</v>
      </c>
      <c r="H8" s="13" t="s">
        <v>1724</v>
      </c>
      <c r="I8" s="13" t="s">
        <v>1725</v>
      </c>
      <c r="J8" s="13" t="s">
        <v>1661</v>
      </c>
      <c r="K8" s="13" t="s">
        <v>1725</v>
      </c>
      <c r="L8" s="13" t="s">
        <v>1726</v>
      </c>
      <c r="M8" s="13" t="s">
        <v>1661</v>
      </c>
      <c r="N8" s="13" t="s">
        <v>1651</v>
      </c>
      <c r="O8" s="13" t="s">
        <v>1727</v>
      </c>
      <c r="P8" s="13" t="s">
        <v>1661</v>
      </c>
      <c r="Q8" s="13" t="s">
        <v>1727</v>
      </c>
      <c r="R8" s="13" t="s">
        <v>1728</v>
      </c>
      <c r="S8" s="13" t="s">
        <v>1651</v>
      </c>
      <c r="T8" s="13" t="s">
        <v>1651</v>
      </c>
      <c r="U8" s="13" t="s">
        <v>1729</v>
      </c>
      <c r="V8" s="13" t="s">
        <v>1730</v>
      </c>
    </row>
    <row r="9" spans="1:22" x14ac:dyDescent="0.25">
      <c r="A9" s="13">
        <v>8</v>
      </c>
      <c r="B9" s="13" t="str">
        <f t="shared" si="0"/>
        <v>KB02017</v>
      </c>
      <c r="C9" s="13">
        <f>IF(COUNTIF(SelfDeveloped!$B:$B, B9)&gt;0, 1, 0)</f>
        <v>1</v>
      </c>
      <c r="D9" s="13" t="s">
        <v>1731</v>
      </c>
      <c r="E9" s="13" t="s">
        <v>1642</v>
      </c>
      <c r="F9" s="13" t="s">
        <v>1732</v>
      </c>
      <c r="G9" s="13" t="s">
        <v>1661</v>
      </c>
      <c r="H9" s="13" t="s">
        <v>1732</v>
      </c>
      <c r="I9" s="13" t="s">
        <v>1733</v>
      </c>
      <c r="J9" s="13" t="s">
        <v>1661</v>
      </c>
      <c r="K9" s="13" t="s">
        <v>1733</v>
      </c>
      <c r="L9" s="13" t="s">
        <v>1732</v>
      </c>
      <c r="M9" s="13" t="s">
        <v>1661</v>
      </c>
      <c r="N9" s="13" t="s">
        <v>1651</v>
      </c>
      <c r="O9" s="13" t="s">
        <v>1734</v>
      </c>
      <c r="P9" s="13" t="s">
        <v>1661</v>
      </c>
      <c r="Q9" s="13" t="s">
        <v>1734</v>
      </c>
      <c r="R9" s="13" t="s">
        <v>1735</v>
      </c>
      <c r="S9" s="13" t="s">
        <v>1651</v>
      </c>
      <c r="T9" s="13" t="s">
        <v>1651</v>
      </c>
      <c r="U9" s="13" t="s">
        <v>1661</v>
      </c>
      <c r="V9" s="13" t="s">
        <v>1651</v>
      </c>
    </row>
    <row r="10" spans="1:22" x14ac:dyDescent="0.25">
      <c r="A10" s="13">
        <v>9</v>
      </c>
      <c r="B10" s="13" t="str">
        <f t="shared" si="0"/>
        <v>BK2007</v>
      </c>
      <c r="C10" s="13">
        <f>IF(COUNTIF(SelfDeveloped!$B:$B, B10)&gt;0, 1, 0)</f>
        <v>1</v>
      </c>
      <c r="D10" s="13" t="s">
        <v>1736</v>
      </c>
      <c r="E10" s="13" t="s">
        <v>1642</v>
      </c>
      <c r="F10" s="13" t="s">
        <v>1737</v>
      </c>
      <c r="G10" s="13" t="s">
        <v>1738</v>
      </c>
      <c r="H10" s="13" t="s">
        <v>1739</v>
      </c>
      <c r="I10" s="13" t="s">
        <v>1740</v>
      </c>
      <c r="J10" s="13" t="s">
        <v>1741</v>
      </c>
      <c r="K10" s="13" t="s">
        <v>1742</v>
      </c>
      <c r="L10" s="13" t="s">
        <v>1743</v>
      </c>
      <c r="M10" s="13" t="s">
        <v>1732</v>
      </c>
      <c r="N10" s="13" t="s">
        <v>1651</v>
      </c>
      <c r="O10" s="13" t="s">
        <v>1744</v>
      </c>
      <c r="P10" s="13" t="s">
        <v>1745</v>
      </c>
      <c r="Q10" s="13" t="s">
        <v>1746</v>
      </c>
      <c r="R10" s="13" t="s">
        <v>1747</v>
      </c>
      <c r="S10" s="13" t="s">
        <v>1748</v>
      </c>
      <c r="T10" s="13" t="s">
        <v>1651</v>
      </c>
      <c r="U10" s="13" t="s">
        <v>1661</v>
      </c>
      <c r="V10" s="13" t="s">
        <v>1651</v>
      </c>
    </row>
    <row r="11" spans="1:22" x14ac:dyDescent="0.25">
      <c r="A11" s="13">
        <v>10</v>
      </c>
      <c r="B11" s="13" t="str">
        <f t="shared" si="0"/>
        <v>KB04111-11</v>
      </c>
      <c r="C11" s="13">
        <f>IF(COUNTIF(SelfDeveloped!$B:$B, B11)&gt;0, 1, 0)</f>
        <v>1</v>
      </c>
      <c r="D11" s="13" t="s">
        <v>2509</v>
      </c>
      <c r="E11" s="13" t="s">
        <v>1642</v>
      </c>
      <c r="F11" s="13" t="s">
        <v>1749</v>
      </c>
      <c r="G11" s="13" t="s">
        <v>1750</v>
      </c>
      <c r="H11" s="13" t="s">
        <v>1751</v>
      </c>
      <c r="I11" s="13" t="s">
        <v>1752</v>
      </c>
      <c r="J11" s="13" t="s">
        <v>1753</v>
      </c>
      <c r="K11" s="13" t="s">
        <v>1754</v>
      </c>
      <c r="L11" s="13" t="s">
        <v>1755</v>
      </c>
      <c r="M11" s="13" t="s">
        <v>1756</v>
      </c>
      <c r="N11" s="13" t="s">
        <v>1651</v>
      </c>
      <c r="O11" s="13" t="s">
        <v>1757</v>
      </c>
      <c r="P11" s="13" t="s">
        <v>1758</v>
      </c>
      <c r="Q11" s="13" t="s">
        <v>1759</v>
      </c>
      <c r="R11" s="13" t="s">
        <v>1760</v>
      </c>
      <c r="S11" s="13" t="s">
        <v>1761</v>
      </c>
      <c r="T11" s="13" t="s">
        <v>1651</v>
      </c>
      <c r="U11" s="13" t="s">
        <v>1762</v>
      </c>
      <c r="V11" s="13" t="s">
        <v>1763</v>
      </c>
    </row>
    <row r="12" spans="1:22" x14ac:dyDescent="0.25">
      <c r="A12" s="13">
        <v>11</v>
      </c>
      <c r="B12" s="13" t="str">
        <f t="shared" si="0"/>
        <v>KB09119-11</v>
      </c>
      <c r="C12" s="13">
        <f>IF(COUNTIF(SelfDeveloped!$B:$B, B12)&gt;0, 1, 0)</f>
        <v>1</v>
      </c>
      <c r="D12" s="13" t="s">
        <v>2511</v>
      </c>
      <c r="E12" s="13" t="s">
        <v>1642</v>
      </c>
      <c r="F12" s="13" t="s">
        <v>1764</v>
      </c>
      <c r="G12" s="13" t="s">
        <v>1661</v>
      </c>
      <c r="H12" s="13" t="s">
        <v>1764</v>
      </c>
      <c r="I12" s="13" t="s">
        <v>1765</v>
      </c>
      <c r="J12" s="13" t="s">
        <v>1661</v>
      </c>
      <c r="K12" s="13" t="s">
        <v>1765</v>
      </c>
      <c r="L12" s="13" t="s">
        <v>1766</v>
      </c>
      <c r="M12" s="13" t="s">
        <v>1661</v>
      </c>
      <c r="N12" s="13" t="s">
        <v>1651</v>
      </c>
      <c r="O12" s="13" t="s">
        <v>1767</v>
      </c>
      <c r="P12" s="13" t="s">
        <v>1661</v>
      </c>
      <c r="Q12" s="13" t="s">
        <v>1767</v>
      </c>
      <c r="R12" s="13" t="s">
        <v>1768</v>
      </c>
      <c r="S12" s="13" t="s">
        <v>1651</v>
      </c>
      <c r="T12" s="13" t="s">
        <v>1651</v>
      </c>
      <c r="U12" s="13" t="s">
        <v>1769</v>
      </c>
      <c r="V12" s="13" t="s">
        <v>1770</v>
      </c>
    </row>
    <row r="13" spans="1:22" x14ac:dyDescent="0.25">
      <c r="A13" s="13">
        <v>12</v>
      </c>
      <c r="B13" s="13" t="str">
        <f t="shared" si="0"/>
        <v>KB09119-10</v>
      </c>
      <c r="C13" s="13">
        <f>IF(COUNTIF(SelfDeveloped!$B:$B, B13)&gt;0, 1, 0)</f>
        <v>1</v>
      </c>
      <c r="D13" s="13" t="s">
        <v>1771</v>
      </c>
      <c r="E13" s="13" t="s">
        <v>1642</v>
      </c>
      <c r="F13" s="13" t="s">
        <v>1772</v>
      </c>
      <c r="G13" s="13" t="s">
        <v>1661</v>
      </c>
      <c r="H13" s="13" t="s">
        <v>1772</v>
      </c>
      <c r="I13" s="13" t="s">
        <v>1773</v>
      </c>
      <c r="J13" s="13" t="s">
        <v>1661</v>
      </c>
      <c r="K13" s="13" t="s">
        <v>1773</v>
      </c>
      <c r="L13" s="13" t="s">
        <v>1774</v>
      </c>
      <c r="M13" s="13" t="s">
        <v>1661</v>
      </c>
      <c r="N13" s="13" t="s">
        <v>1651</v>
      </c>
      <c r="O13" s="13" t="s">
        <v>1775</v>
      </c>
      <c r="P13" s="13" t="s">
        <v>1661</v>
      </c>
      <c r="Q13" s="13" t="s">
        <v>1775</v>
      </c>
      <c r="R13" s="13" t="s">
        <v>1776</v>
      </c>
      <c r="S13" s="13" t="s">
        <v>1651</v>
      </c>
      <c r="T13" s="13" t="s">
        <v>1651</v>
      </c>
      <c r="U13" s="13" t="s">
        <v>1777</v>
      </c>
      <c r="V13" s="13" t="s">
        <v>1778</v>
      </c>
    </row>
    <row r="14" spans="1:22" x14ac:dyDescent="0.25">
      <c r="A14" s="13">
        <v>13</v>
      </c>
      <c r="B14" s="13" t="str">
        <f t="shared" si="0"/>
        <v>KB04002</v>
      </c>
      <c r="C14" s="13">
        <f>IF(COUNTIF(SelfDeveloped!$B:$B, B14)&gt;0, 1, 0)</f>
        <v>1</v>
      </c>
      <c r="D14" s="13" t="s">
        <v>2516</v>
      </c>
      <c r="E14" s="13" t="s">
        <v>1642</v>
      </c>
      <c r="F14" s="13" t="s">
        <v>1779</v>
      </c>
      <c r="G14" s="13" t="s">
        <v>1780</v>
      </c>
      <c r="H14" s="13" t="s">
        <v>1781</v>
      </c>
      <c r="I14" s="13" t="s">
        <v>1782</v>
      </c>
      <c r="J14" s="13" t="s">
        <v>1783</v>
      </c>
      <c r="K14" s="13" t="s">
        <v>1784</v>
      </c>
      <c r="L14" s="13" t="s">
        <v>1785</v>
      </c>
      <c r="M14" s="13" t="s">
        <v>1786</v>
      </c>
      <c r="N14" s="13" t="s">
        <v>1651</v>
      </c>
      <c r="O14" s="13" t="s">
        <v>1787</v>
      </c>
      <c r="P14" s="13" t="s">
        <v>1788</v>
      </c>
      <c r="Q14" s="13" t="s">
        <v>1789</v>
      </c>
      <c r="R14" s="13" t="s">
        <v>1790</v>
      </c>
      <c r="S14" s="13" t="s">
        <v>1791</v>
      </c>
      <c r="T14" s="13" t="s">
        <v>1651</v>
      </c>
      <c r="U14" s="13" t="s">
        <v>1792</v>
      </c>
      <c r="V14" s="13" t="s">
        <v>1793</v>
      </c>
    </row>
    <row r="15" spans="1:22" x14ac:dyDescent="0.25">
      <c r="A15" s="13">
        <v>14</v>
      </c>
      <c r="B15" s="13" t="str">
        <f t="shared" si="0"/>
        <v>KB404-11S</v>
      </c>
      <c r="C15" s="13">
        <f>IF(COUNTIF(SelfDeveloped!$B:$B, B15)&gt;0, 1, 0)</f>
        <v>0</v>
      </c>
      <c r="D15" s="13" t="s">
        <v>1794</v>
      </c>
      <c r="E15" s="13" t="s">
        <v>1642</v>
      </c>
      <c r="F15" s="13" t="s">
        <v>1795</v>
      </c>
      <c r="G15" s="13" t="s">
        <v>1661</v>
      </c>
      <c r="H15" s="13" t="s">
        <v>1795</v>
      </c>
      <c r="I15" s="13" t="s">
        <v>1796</v>
      </c>
      <c r="J15" s="13" t="s">
        <v>1661</v>
      </c>
      <c r="K15" s="13" t="s">
        <v>1796</v>
      </c>
      <c r="L15" s="13" t="s">
        <v>1797</v>
      </c>
      <c r="M15" s="13" t="s">
        <v>1661</v>
      </c>
      <c r="N15" s="13" t="s">
        <v>1651</v>
      </c>
      <c r="O15" s="13" t="s">
        <v>1798</v>
      </c>
      <c r="P15" s="13" t="s">
        <v>1661</v>
      </c>
      <c r="Q15" s="13" t="s">
        <v>1798</v>
      </c>
      <c r="R15" s="13" t="s">
        <v>1799</v>
      </c>
      <c r="S15" s="13" t="s">
        <v>1651</v>
      </c>
      <c r="T15" s="13" t="s">
        <v>1651</v>
      </c>
      <c r="U15" s="13" t="s">
        <v>1800</v>
      </c>
      <c r="V15" s="13" t="s">
        <v>1801</v>
      </c>
    </row>
    <row r="16" spans="1:22" x14ac:dyDescent="0.25">
      <c r="A16" s="13">
        <v>15</v>
      </c>
      <c r="B16" s="13" t="str">
        <f t="shared" si="0"/>
        <v>BK2007</v>
      </c>
      <c r="C16" s="13">
        <f>IF(COUNTIF(SelfDeveloped!$B:$B, B16)&gt;0, 1, 0)</f>
        <v>1</v>
      </c>
      <c r="D16" s="13" t="s">
        <v>1802</v>
      </c>
      <c r="E16" s="13" t="s">
        <v>1642</v>
      </c>
      <c r="F16" s="13" t="s">
        <v>1803</v>
      </c>
      <c r="G16" s="13" t="s">
        <v>1804</v>
      </c>
      <c r="H16" s="13" t="s">
        <v>1805</v>
      </c>
      <c r="I16" s="13" t="s">
        <v>1806</v>
      </c>
      <c r="J16" s="13" t="s">
        <v>1807</v>
      </c>
      <c r="K16" s="13" t="s">
        <v>1808</v>
      </c>
      <c r="L16" s="13" t="s">
        <v>1809</v>
      </c>
      <c r="M16" s="13" t="s">
        <v>1810</v>
      </c>
      <c r="N16" s="13" t="s">
        <v>1651</v>
      </c>
      <c r="O16" s="13" t="s">
        <v>1811</v>
      </c>
      <c r="P16" s="13" t="s">
        <v>1812</v>
      </c>
      <c r="Q16" s="13" t="s">
        <v>1813</v>
      </c>
      <c r="R16" s="13" t="s">
        <v>1814</v>
      </c>
      <c r="S16" s="13" t="s">
        <v>1815</v>
      </c>
      <c r="T16" s="13" t="s">
        <v>1651</v>
      </c>
      <c r="U16" s="13" t="s">
        <v>1816</v>
      </c>
      <c r="V16" s="13" t="s">
        <v>1817</v>
      </c>
    </row>
    <row r="17" spans="1:22" x14ac:dyDescent="0.25">
      <c r="A17" s="13">
        <v>16</v>
      </c>
      <c r="B17" s="13" t="str">
        <f t="shared" si="0"/>
        <v>KB06004</v>
      </c>
      <c r="C17" s="13">
        <f>IF(COUNTIF(SelfDeveloped!$B:$B, B17)&gt;0, 1, 0)</f>
        <v>0</v>
      </c>
      <c r="D17" s="13" t="s">
        <v>2519</v>
      </c>
      <c r="E17" s="13" t="s">
        <v>1818</v>
      </c>
      <c r="F17" s="13" t="s">
        <v>1819</v>
      </c>
      <c r="G17" s="13" t="s">
        <v>1820</v>
      </c>
      <c r="H17" s="13" t="s">
        <v>1821</v>
      </c>
      <c r="I17" s="13" t="s">
        <v>1822</v>
      </c>
      <c r="J17" s="13" t="s">
        <v>1823</v>
      </c>
      <c r="K17" s="13" t="s">
        <v>1824</v>
      </c>
      <c r="L17" s="13" t="s">
        <v>1825</v>
      </c>
      <c r="M17" s="13" t="s">
        <v>1826</v>
      </c>
      <c r="N17" s="13" t="s">
        <v>1651</v>
      </c>
      <c r="O17" s="13" t="s">
        <v>1827</v>
      </c>
      <c r="P17" s="13" t="s">
        <v>1828</v>
      </c>
      <c r="Q17" s="13" t="s">
        <v>1829</v>
      </c>
      <c r="R17" s="13" t="s">
        <v>1830</v>
      </c>
      <c r="S17" s="13" t="s">
        <v>1831</v>
      </c>
      <c r="T17" s="13" t="s">
        <v>1651</v>
      </c>
      <c r="U17" s="13" t="s">
        <v>1832</v>
      </c>
      <c r="V17" s="13" t="s">
        <v>1833</v>
      </c>
    </row>
    <row r="18" spans="1:22" x14ac:dyDescent="0.25">
      <c r="A18" s="13">
        <v>17</v>
      </c>
      <c r="B18" s="13" t="str">
        <f t="shared" si="0"/>
        <v>BK2007</v>
      </c>
      <c r="C18" s="13">
        <f>IF(COUNTIF(SelfDeveloped!$B:$B, B18)&gt;0, 1, 0)</f>
        <v>1</v>
      </c>
      <c r="D18" s="13" t="s">
        <v>1834</v>
      </c>
      <c r="E18" s="13" t="s">
        <v>1642</v>
      </c>
      <c r="F18" s="13" t="s">
        <v>1835</v>
      </c>
      <c r="G18" s="13" t="s">
        <v>1836</v>
      </c>
      <c r="H18" s="13" t="s">
        <v>1837</v>
      </c>
      <c r="I18" s="13" t="s">
        <v>1838</v>
      </c>
      <c r="J18" s="13" t="s">
        <v>1839</v>
      </c>
      <c r="K18" s="13" t="s">
        <v>1840</v>
      </c>
      <c r="L18" s="13" t="s">
        <v>1841</v>
      </c>
      <c r="M18" s="13" t="s">
        <v>1743</v>
      </c>
      <c r="N18" s="13" t="s">
        <v>1651</v>
      </c>
      <c r="O18" s="13" t="s">
        <v>1842</v>
      </c>
      <c r="P18" s="13" t="s">
        <v>1843</v>
      </c>
      <c r="Q18" s="13" t="s">
        <v>1844</v>
      </c>
      <c r="R18" s="13" t="s">
        <v>1845</v>
      </c>
      <c r="S18" s="13" t="s">
        <v>1846</v>
      </c>
      <c r="T18" s="13" t="s">
        <v>1651</v>
      </c>
      <c r="U18" s="13" t="s">
        <v>1847</v>
      </c>
      <c r="V18" s="13" t="s">
        <v>1728</v>
      </c>
    </row>
    <row r="19" spans="1:22" x14ac:dyDescent="0.25">
      <c r="A19" s="13">
        <v>18</v>
      </c>
      <c r="B19" s="13" t="str">
        <f t="shared" si="0"/>
        <v>KB603</v>
      </c>
      <c r="C19" s="13">
        <f>IF(COUNTIF(SelfDeveloped!$B:$B, B19)&gt;0, 1, 0)</f>
        <v>0</v>
      </c>
      <c r="D19" s="13" t="s">
        <v>1848</v>
      </c>
      <c r="E19" s="13" t="s">
        <v>1818</v>
      </c>
      <c r="F19" s="13" t="s">
        <v>1849</v>
      </c>
      <c r="G19" s="13" t="s">
        <v>1661</v>
      </c>
      <c r="H19" s="13" t="s">
        <v>1849</v>
      </c>
      <c r="I19" s="13" t="s">
        <v>1850</v>
      </c>
      <c r="J19" s="13" t="s">
        <v>1661</v>
      </c>
      <c r="K19" s="13" t="s">
        <v>1850</v>
      </c>
      <c r="L19" s="13" t="s">
        <v>1851</v>
      </c>
      <c r="M19" s="13" t="s">
        <v>1661</v>
      </c>
      <c r="N19" s="13" t="s">
        <v>1651</v>
      </c>
      <c r="O19" s="13" t="s">
        <v>1852</v>
      </c>
      <c r="P19" s="13" t="s">
        <v>1661</v>
      </c>
      <c r="Q19" s="13" t="s">
        <v>1852</v>
      </c>
      <c r="R19" s="13" t="s">
        <v>1853</v>
      </c>
      <c r="S19" s="13" t="s">
        <v>1651</v>
      </c>
      <c r="T19" s="13" t="s">
        <v>1651</v>
      </c>
      <c r="U19" s="13" t="s">
        <v>1854</v>
      </c>
      <c r="V19" s="13" t="s">
        <v>1855</v>
      </c>
    </row>
    <row r="20" spans="1:22" x14ac:dyDescent="0.25">
      <c r="A20" s="13">
        <v>19</v>
      </c>
      <c r="B20" s="13" t="str">
        <f t="shared" si="0"/>
        <v>KB04002</v>
      </c>
      <c r="C20" s="13">
        <f>IF(COUNTIF(SelfDeveloped!$B:$B, B20)&gt;0, 1, 0)</f>
        <v>1</v>
      </c>
      <c r="D20" s="13" t="s">
        <v>1856</v>
      </c>
      <c r="E20" s="13" t="s">
        <v>1642</v>
      </c>
      <c r="F20" s="13" t="s">
        <v>1857</v>
      </c>
      <c r="G20" s="13" t="s">
        <v>1858</v>
      </c>
      <c r="H20" s="13" t="s">
        <v>1859</v>
      </c>
      <c r="I20" s="13" t="s">
        <v>1860</v>
      </c>
      <c r="J20" s="13" t="s">
        <v>1861</v>
      </c>
      <c r="K20" s="13" t="s">
        <v>1862</v>
      </c>
      <c r="L20" s="13" t="s">
        <v>1863</v>
      </c>
      <c r="M20" s="13" t="s">
        <v>1864</v>
      </c>
      <c r="N20" s="13" t="s">
        <v>1651</v>
      </c>
      <c r="O20" s="13" t="s">
        <v>1865</v>
      </c>
      <c r="P20" s="13" t="s">
        <v>1866</v>
      </c>
      <c r="Q20" s="13" t="s">
        <v>1867</v>
      </c>
      <c r="R20" s="13" t="s">
        <v>1651</v>
      </c>
      <c r="S20" s="13" t="s">
        <v>1868</v>
      </c>
      <c r="T20" s="13" t="s">
        <v>1651</v>
      </c>
      <c r="U20" s="13" t="s">
        <v>1869</v>
      </c>
      <c r="V20" s="13" t="s">
        <v>1870</v>
      </c>
    </row>
    <row r="21" spans="1:22" x14ac:dyDescent="0.25">
      <c r="A21" s="13">
        <v>20</v>
      </c>
      <c r="B21" s="13" t="str">
        <f t="shared" si="0"/>
        <v>KB04122</v>
      </c>
      <c r="C21" s="13">
        <f>IF(COUNTIF(SelfDeveloped!$B:$B, B21)&gt;0, 1, 0)</f>
        <v>1</v>
      </c>
      <c r="D21" s="13" t="s">
        <v>1871</v>
      </c>
      <c r="E21" s="13" t="s">
        <v>1642</v>
      </c>
      <c r="F21" s="13" t="s">
        <v>1872</v>
      </c>
      <c r="G21" s="13" t="s">
        <v>1661</v>
      </c>
      <c r="H21" s="13" t="s">
        <v>1872</v>
      </c>
      <c r="I21" s="13" t="s">
        <v>1873</v>
      </c>
      <c r="J21" s="13" t="s">
        <v>1661</v>
      </c>
      <c r="K21" s="13" t="s">
        <v>1873</v>
      </c>
      <c r="L21" s="13" t="s">
        <v>1874</v>
      </c>
      <c r="M21" s="13" t="s">
        <v>1661</v>
      </c>
      <c r="N21" s="13" t="s">
        <v>1651</v>
      </c>
      <c r="O21" s="13" t="s">
        <v>1875</v>
      </c>
      <c r="P21" s="13" t="s">
        <v>1661</v>
      </c>
      <c r="Q21" s="13" t="s">
        <v>1875</v>
      </c>
      <c r="R21" s="13" t="s">
        <v>1876</v>
      </c>
      <c r="S21" s="13" t="s">
        <v>1651</v>
      </c>
      <c r="T21" s="13" t="s">
        <v>1651</v>
      </c>
      <c r="U21" s="13" t="s">
        <v>1877</v>
      </c>
      <c r="V21" s="13" t="s">
        <v>1878</v>
      </c>
    </row>
    <row r="22" spans="1:22" x14ac:dyDescent="0.25">
      <c r="A22" s="13">
        <v>21</v>
      </c>
      <c r="B22" s="13" t="str">
        <f t="shared" si="0"/>
        <v>KB06103</v>
      </c>
      <c r="C22" s="13">
        <f>IF(COUNTIF(SelfDeveloped!$B:$B, B22)&gt;0, 1, 0)</f>
        <v>1</v>
      </c>
      <c r="D22" s="13" t="s">
        <v>1879</v>
      </c>
      <c r="E22" s="13" t="s">
        <v>1642</v>
      </c>
      <c r="F22" s="13" t="s">
        <v>1880</v>
      </c>
      <c r="G22" s="13" t="s">
        <v>1661</v>
      </c>
      <c r="H22" s="13" t="s">
        <v>1880</v>
      </c>
      <c r="I22" s="13" t="s">
        <v>1881</v>
      </c>
      <c r="J22" s="13" t="s">
        <v>1661</v>
      </c>
      <c r="K22" s="13" t="s">
        <v>1881</v>
      </c>
      <c r="L22" s="13" t="s">
        <v>1882</v>
      </c>
      <c r="M22" s="13" t="s">
        <v>1661</v>
      </c>
      <c r="N22" s="13" t="s">
        <v>1651</v>
      </c>
      <c r="O22" s="13" t="s">
        <v>1883</v>
      </c>
      <c r="P22" s="13" t="s">
        <v>1661</v>
      </c>
      <c r="Q22" s="13" t="s">
        <v>1883</v>
      </c>
      <c r="R22" s="13" t="s">
        <v>1884</v>
      </c>
      <c r="S22" s="13" t="s">
        <v>1651</v>
      </c>
      <c r="T22" s="13" t="s">
        <v>1651</v>
      </c>
      <c r="U22" s="13" t="s">
        <v>1885</v>
      </c>
      <c r="V22" s="13" t="s">
        <v>1886</v>
      </c>
    </row>
    <row r="23" spans="1:22" x14ac:dyDescent="0.25">
      <c r="A23" s="13">
        <v>22</v>
      </c>
      <c r="B23" s="13" t="str">
        <f t="shared" si="0"/>
        <v>KB02026</v>
      </c>
      <c r="C23" s="13">
        <f>IF(COUNTIF(SelfDeveloped!$B:$B, B23)&gt;0, 1, 0)</f>
        <v>0</v>
      </c>
      <c r="D23" s="13" t="s">
        <v>2520</v>
      </c>
      <c r="E23" s="13" t="s">
        <v>1642</v>
      </c>
      <c r="F23" s="13" t="s">
        <v>1887</v>
      </c>
      <c r="G23" s="13" t="s">
        <v>1888</v>
      </c>
      <c r="H23" s="13" t="s">
        <v>1889</v>
      </c>
      <c r="I23" s="13" t="s">
        <v>1890</v>
      </c>
      <c r="J23" s="13" t="s">
        <v>1891</v>
      </c>
      <c r="K23" s="13" t="s">
        <v>1892</v>
      </c>
      <c r="L23" s="13" t="s">
        <v>1893</v>
      </c>
      <c r="M23" s="13" t="s">
        <v>1894</v>
      </c>
      <c r="N23" s="13" t="s">
        <v>1651</v>
      </c>
      <c r="O23" s="13" t="s">
        <v>1895</v>
      </c>
      <c r="P23" s="13" t="s">
        <v>1896</v>
      </c>
      <c r="Q23" s="13" t="s">
        <v>1897</v>
      </c>
      <c r="R23" s="13" t="s">
        <v>1898</v>
      </c>
      <c r="S23" s="13" t="s">
        <v>1721</v>
      </c>
      <c r="T23" s="13" t="s">
        <v>1651</v>
      </c>
      <c r="U23" s="13" t="s">
        <v>1899</v>
      </c>
      <c r="V23" s="13" t="s">
        <v>1900</v>
      </c>
    </row>
    <row r="24" spans="1:22" x14ac:dyDescent="0.25">
      <c r="A24" s="13">
        <v>23</v>
      </c>
      <c r="B24" s="13" t="str">
        <f t="shared" si="0"/>
        <v>KB002</v>
      </c>
      <c r="C24" s="13">
        <f>IF(COUNTIF(SelfDeveloped!$B:$B, B24)&gt;0, 1, 0)</f>
        <v>1</v>
      </c>
      <c r="D24" s="13" t="s">
        <v>1901</v>
      </c>
      <c r="E24" s="13" t="s">
        <v>1642</v>
      </c>
      <c r="F24" s="13" t="s">
        <v>1902</v>
      </c>
      <c r="G24" s="13" t="s">
        <v>1661</v>
      </c>
      <c r="H24" s="13" t="s">
        <v>1902</v>
      </c>
      <c r="I24" s="13" t="s">
        <v>1903</v>
      </c>
      <c r="J24" s="13" t="s">
        <v>1661</v>
      </c>
      <c r="K24" s="13" t="s">
        <v>1903</v>
      </c>
      <c r="L24" s="13" t="s">
        <v>1904</v>
      </c>
      <c r="M24" s="13" t="s">
        <v>1661</v>
      </c>
      <c r="N24" s="13" t="s">
        <v>1651</v>
      </c>
      <c r="O24" s="13" t="s">
        <v>1905</v>
      </c>
      <c r="P24" s="13" t="s">
        <v>1661</v>
      </c>
      <c r="Q24" s="13" t="s">
        <v>1905</v>
      </c>
      <c r="R24" s="13" t="s">
        <v>1776</v>
      </c>
      <c r="S24" s="13" t="s">
        <v>1651</v>
      </c>
      <c r="T24" s="13" t="s">
        <v>1651</v>
      </c>
      <c r="U24" s="13" t="s">
        <v>1906</v>
      </c>
      <c r="V24" s="13" t="s">
        <v>1907</v>
      </c>
    </row>
    <row r="25" spans="1:22" x14ac:dyDescent="0.25">
      <c r="A25" s="13">
        <v>24</v>
      </c>
      <c r="B25" s="13" t="str">
        <f t="shared" si="0"/>
        <v>KB09119-10</v>
      </c>
      <c r="C25" s="13">
        <f>IF(COUNTIF(SelfDeveloped!$B:$B, B25)&gt;0, 1, 0)</f>
        <v>1</v>
      </c>
      <c r="D25" s="13" t="s">
        <v>1908</v>
      </c>
      <c r="E25" s="13" t="s">
        <v>1642</v>
      </c>
      <c r="F25" s="13" t="s">
        <v>1909</v>
      </c>
      <c r="G25" s="13" t="s">
        <v>1661</v>
      </c>
      <c r="H25" s="13" t="s">
        <v>1909</v>
      </c>
      <c r="I25" s="13" t="s">
        <v>1910</v>
      </c>
      <c r="J25" s="13" t="s">
        <v>1661</v>
      </c>
      <c r="K25" s="13" t="s">
        <v>1910</v>
      </c>
      <c r="L25" s="13" t="s">
        <v>1911</v>
      </c>
      <c r="M25" s="13" t="s">
        <v>1661</v>
      </c>
      <c r="N25" s="13" t="s">
        <v>1651</v>
      </c>
      <c r="O25" s="13" t="s">
        <v>1912</v>
      </c>
      <c r="P25" s="13" t="s">
        <v>1661</v>
      </c>
      <c r="Q25" s="13" t="s">
        <v>1912</v>
      </c>
      <c r="R25" s="13" t="s">
        <v>1913</v>
      </c>
      <c r="S25" s="13" t="s">
        <v>1651</v>
      </c>
      <c r="T25" s="13" t="s">
        <v>1651</v>
      </c>
      <c r="U25" s="13" t="s">
        <v>1914</v>
      </c>
      <c r="V25" s="13" t="s">
        <v>1878</v>
      </c>
    </row>
    <row r="26" spans="1:22" x14ac:dyDescent="0.25">
      <c r="A26" s="13">
        <v>25</v>
      </c>
      <c r="B26" s="13" t="str">
        <f t="shared" si="0"/>
        <v>KB04122-11</v>
      </c>
      <c r="C26" s="13">
        <f>IF(COUNTIF(SelfDeveloped!$B:$B, B26)&gt;0, 1, 0)</f>
        <v>1</v>
      </c>
      <c r="D26" s="13" t="s">
        <v>2521</v>
      </c>
      <c r="E26" s="13" t="s">
        <v>1642</v>
      </c>
      <c r="F26" s="13" t="s">
        <v>1915</v>
      </c>
      <c r="G26" s="13" t="s">
        <v>1661</v>
      </c>
      <c r="H26" s="13" t="s">
        <v>1915</v>
      </c>
      <c r="I26" s="13" t="s">
        <v>1916</v>
      </c>
      <c r="J26" s="13" t="s">
        <v>1661</v>
      </c>
      <c r="K26" s="13" t="s">
        <v>1916</v>
      </c>
      <c r="L26" s="13" t="s">
        <v>1917</v>
      </c>
      <c r="M26" s="13" t="s">
        <v>1661</v>
      </c>
      <c r="N26" s="13" t="s">
        <v>1651</v>
      </c>
      <c r="O26" s="13" t="s">
        <v>1918</v>
      </c>
      <c r="P26" s="13" t="s">
        <v>1919</v>
      </c>
      <c r="Q26" s="13" t="s">
        <v>1920</v>
      </c>
      <c r="R26" s="13" t="s">
        <v>1921</v>
      </c>
      <c r="S26" s="13" t="s">
        <v>1651</v>
      </c>
      <c r="T26" s="13" t="s">
        <v>1651</v>
      </c>
      <c r="U26" s="13" t="s">
        <v>1661</v>
      </c>
      <c r="V26" s="13" t="s">
        <v>1651</v>
      </c>
    </row>
    <row r="27" spans="1:22" x14ac:dyDescent="0.25">
      <c r="A27" s="13">
        <v>26</v>
      </c>
      <c r="B27" s="13" t="str">
        <f t="shared" si="0"/>
        <v>KB09119</v>
      </c>
      <c r="C27" s="13">
        <f>IF(COUNTIF(SelfDeveloped!$B:$B, B27)&gt;0, 1, 0)</f>
        <v>1</v>
      </c>
      <c r="D27" s="13" t="s">
        <v>1922</v>
      </c>
      <c r="E27" s="13" t="s">
        <v>1642</v>
      </c>
      <c r="F27" s="13" t="s">
        <v>1923</v>
      </c>
      <c r="G27" s="13" t="s">
        <v>1661</v>
      </c>
      <c r="H27" s="13" t="s">
        <v>1923</v>
      </c>
      <c r="I27" s="13" t="s">
        <v>1924</v>
      </c>
      <c r="J27" s="13" t="s">
        <v>1661</v>
      </c>
      <c r="K27" s="13" t="s">
        <v>1924</v>
      </c>
      <c r="L27" s="13" t="s">
        <v>1925</v>
      </c>
      <c r="M27" s="13" t="s">
        <v>1661</v>
      </c>
      <c r="N27" s="13" t="s">
        <v>1651</v>
      </c>
      <c r="O27" s="13" t="s">
        <v>1926</v>
      </c>
      <c r="P27" s="13" t="s">
        <v>1661</v>
      </c>
      <c r="Q27" s="13" t="s">
        <v>1926</v>
      </c>
      <c r="R27" s="13" t="s">
        <v>1927</v>
      </c>
      <c r="S27" s="13" t="s">
        <v>1651</v>
      </c>
      <c r="T27" s="13" t="s">
        <v>1651</v>
      </c>
      <c r="U27" s="13" t="s">
        <v>1928</v>
      </c>
      <c r="V27" s="13" t="s">
        <v>1929</v>
      </c>
    </row>
    <row r="28" spans="1:22" x14ac:dyDescent="0.25">
      <c r="A28" s="13">
        <v>27</v>
      </c>
      <c r="B28" s="13" t="str">
        <f t="shared" si="0"/>
        <v>KB06007</v>
      </c>
      <c r="C28" s="13">
        <f>IF(COUNTIF(SelfDeveloped!$B:$B, B28)&gt;0, 1, 0)</f>
        <v>1</v>
      </c>
      <c r="D28" s="13" t="s">
        <v>1930</v>
      </c>
      <c r="E28" s="13" t="s">
        <v>1818</v>
      </c>
      <c r="F28" s="13" t="s">
        <v>1931</v>
      </c>
      <c r="G28" s="13" t="s">
        <v>1661</v>
      </c>
      <c r="H28" s="13" t="s">
        <v>1931</v>
      </c>
      <c r="I28" s="13" t="s">
        <v>1932</v>
      </c>
      <c r="J28" s="13" t="s">
        <v>1661</v>
      </c>
      <c r="K28" s="13" t="s">
        <v>1932</v>
      </c>
      <c r="L28" s="13" t="s">
        <v>1933</v>
      </c>
      <c r="M28" s="13" t="s">
        <v>1661</v>
      </c>
      <c r="N28" s="13" t="s">
        <v>1651</v>
      </c>
      <c r="O28" s="13" t="s">
        <v>1934</v>
      </c>
      <c r="P28" s="13" t="s">
        <v>1661</v>
      </c>
      <c r="Q28" s="13" t="s">
        <v>1934</v>
      </c>
      <c r="R28" s="13" t="s">
        <v>1935</v>
      </c>
      <c r="S28" s="13" t="s">
        <v>1651</v>
      </c>
      <c r="T28" s="13" t="s">
        <v>1651</v>
      </c>
      <c r="U28" s="13" t="s">
        <v>1936</v>
      </c>
      <c r="V28" s="13" t="s">
        <v>1937</v>
      </c>
    </row>
    <row r="29" spans="1:22" x14ac:dyDescent="0.25">
      <c r="A29" s="13">
        <v>28</v>
      </c>
      <c r="B29" s="13" t="str">
        <f t="shared" si="0"/>
        <v>KB04118</v>
      </c>
      <c r="C29" s="13">
        <f>IF(COUNTIF(SelfDeveloped!$B:$B, B29)&gt;0, 1, 0)</f>
        <v>0</v>
      </c>
      <c r="D29" s="13" t="s">
        <v>2523</v>
      </c>
      <c r="E29" s="13" t="s">
        <v>1642</v>
      </c>
      <c r="F29" s="13" t="s">
        <v>1938</v>
      </c>
      <c r="G29" s="13" t="s">
        <v>1661</v>
      </c>
      <c r="H29" s="13" t="s">
        <v>1938</v>
      </c>
      <c r="I29" s="13" t="s">
        <v>1939</v>
      </c>
      <c r="J29" s="13" t="s">
        <v>1661</v>
      </c>
      <c r="K29" s="13" t="s">
        <v>1939</v>
      </c>
      <c r="L29" s="13" t="s">
        <v>1940</v>
      </c>
      <c r="M29" s="13" t="s">
        <v>1661</v>
      </c>
      <c r="N29" s="13" t="s">
        <v>1651</v>
      </c>
      <c r="O29" s="13" t="s">
        <v>1941</v>
      </c>
      <c r="P29" s="13" t="s">
        <v>1661</v>
      </c>
      <c r="Q29" s="13" t="s">
        <v>1941</v>
      </c>
      <c r="R29" s="13" t="s">
        <v>1942</v>
      </c>
      <c r="S29" s="13" t="s">
        <v>1651</v>
      </c>
      <c r="T29" s="13" t="s">
        <v>1651</v>
      </c>
      <c r="U29" s="13" t="s">
        <v>1943</v>
      </c>
      <c r="V29" s="13" t="s">
        <v>1944</v>
      </c>
    </row>
    <row r="30" spans="1:22" x14ac:dyDescent="0.25">
      <c r="A30" s="13">
        <v>29</v>
      </c>
      <c r="B30" s="13" t="str">
        <f t="shared" si="0"/>
        <v>BK2007-13</v>
      </c>
      <c r="C30" s="13">
        <f>IF(COUNTIF(SelfDeveloped!$B:$B, B30)&gt;0, 1, 0)</f>
        <v>1</v>
      </c>
      <c r="D30" s="13" t="s">
        <v>1945</v>
      </c>
      <c r="E30" s="13" t="s">
        <v>1642</v>
      </c>
      <c r="F30" s="13" t="s">
        <v>1946</v>
      </c>
      <c r="G30" s="13" t="s">
        <v>1947</v>
      </c>
      <c r="H30" s="13" t="s">
        <v>1948</v>
      </c>
      <c r="I30" s="13" t="s">
        <v>1949</v>
      </c>
      <c r="J30" s="13" t="s">
        <v>1950</v>
      </c>
      <c r="K30" s="13" t="s">
        <v>1951</v>
      </c>
      <c r="L30" s="13" t="s">
        <v>1952</v>
      </c>
      <c r="M30" s="13" t="s">
        <v>1953</v>
      </c>
      <c r="N30" s="13" t="s">
        <v>1651</v>
      </c>
      <c r="O30" s="13" t="s">
        <v>1954</v>
      </c>
      <c r="P30" s="13" t="s">
        <v>1955</v>
      </c>
      <c r="Q30" s="13" t="s">
        <v>1956</v>
      </c>
      <c r="R30" s="13" t="s">
        <v>1957</v>
      </c>
      <c r="S30" s="13" t="s">
        <v>1958</v>
      </c>
      <c r="T30" s="13" t="s">
        <v>1651</v>
      </c>
      <c r="U30" s="13" t="s">
        <v>1959</v>
      </c>
      <c r="V30" s="13" t="s">
        <v>1960</v>
      </c>
    </row>
    <row r="31" spans="1:22" x14ac:dyDescent="0.25">
      <c r="A31" s="13">
        <v>30</v>
      </c>
      <c r="B31" s="13" t="str">
        <f t="shared" si="0"/>
        <v>KB003-11A</v>
      </c>
      <c r="C31" s="13">
        <f>IF(COUNTIF(SelfDeveloped!$B:$B, B31)&gt;0, 1, 0)</f>
        <v>0</v>
      </c>
      <c r="D31" s="13" t="s">
        <v>1961</v>
      </c>
      <c r="E31" s="13" t="s">
        <v>1642</v>
      </c>
      <c r="F31" s="13" t="s">
        <v>1962</v>
      </c>
      <c r="G31" s="13" t="s">
        <v>1661</v>
      </c>
      <c r="H31" s="13" t="s">
        <v>1962</v>
      </c>
      <c r="I31" s="13" t="s">
        <v>1963</v>
      </c>
      <c r="J31" s="13" t="s">
        <v>1661</v>
      </c>
      <c r="K31" s="13" t="s">
        <v>1963</v>
      </c>
      <c r="L31" s="13" t="s">
        <v>1863</v>
      </c>
      <c r="M31" s="13" t="s">
        <v>1661</v>
      </c>
      <c r="N31" s="13" t="s">
        <v>1651</v>
      </c>
      <c r="O31" s="13" t="s">
        <v>1964</v>
      </c>
      <c r="P31" s="13" t="s">
        <v>1661</v>
      </c>
      <c r="Q31" s="13" t="s">
        <v>1964</v>
      </c>
      <c r="R31" s="13" t="s">
        <v>1965</v>
      </c>
      <c r="S31" s="13" t="s">
        <v>1651</v>
      </c>
      <c r="T31" s="13" t="s">
        <v>1651</v>
      </c>
      <c r="U31" s="13" t="s">
        <v>1966</v>
      </c>
      <c r="V31" s="13" t="s">
        <v>1967</v>
      </c>
    </row>
    <row r="32" spans="1:22" x14ac:dyDescent="0.25">
      <c r="A32" s="13">
        <v>31</v>
      </c>
      <c r="B32" s="13" t="str">
        <f t="shared" si="0"/>
        <v>BK2007</v>
      </c>
      <c r="C32" s="13">
        <f>IF(COUNTIF(SelfDeveloped!$B:$B, B32)&gt;0, 1, 0)</f>
        <v>1</v>
      </c>
      <c r="D32" s="13" t="s">
        <v>1968</v>
      </c>
      <c r="E32" s="13" t="s">
        <v>1642</v>
      </c>
      <c r="F32" s="13" t="s">
        <v>1969</v>
      </c>
      <c r="G32" s="13" t="s">
        <v>1661</v>
      </c>
      <c r="H32" s="13" t="s">
        <v>1969</v>
      </c>
      <c r="I32" s="13" t="s">
        <v>1970</v>
      </c>
      <c r="J32" s="13" t="s">
        <v>1661</v>
      </c>
      <c r="K32" s="13" t="s">
        <v>1970</v>
      </c>
      <c r="L32" s="13" t="s">
        <v>1971</v>
      </c>
      <c r="M32" s="13" t="s">
        <v>1661</v>
      </c>
      <c r="N32" s="13" t="s">
        <v>1651</v>
      </c>
      <c r="O32" s="13" t="s">
        <v>1972</v>
      </c>
      <c r="P32" s="13" t="s">
        <v>1661</v>
      </c>
      <c r="Q32" s="13" t="s">
        <v>1972</v>
      </c>
      <c r="R32" s="13" t="s">
        <v>1973</v>
      </c>
      <c r="S32" s="13" t="s">
        <v>1651</v>
      </c>
      <c r="T32" s="13" t="s">
        <v>1651</v>
      </c>
      <c r="U32" s="13" t="s">
        <v>1974</v>
      </c>
      <c r="V32" s="13" t="s">
        <v>1975</v>
      </c>
    </row>
    <row r="33" spans="1:22" x14ac:dyDescent="0.25">
      <c r="A33" s="13">
        <v>32</v>
      </c>
      <c r="B33" s="13" t="str">
        <f t="shared" si="0"/>
        <v>KB04122</v>
      </c>
      <c r="C33" s="13">
        <f>IF(COUNTIF(SelfDeveloped!$B:$B, B33)&gt;0, 1, 0)</f>
        <v>1</v>
      </c>
      <c r="D33" s="13" t="s">
        <v>1976</v>
      </c>
      <c r="E33" s="13" t="s">
        <v>1642</v>
      </c>
      <c r="F33" s="13" t="s">
        <v>1977</v>
      </c>
      <c r="G33" s="13" t="s">
        <v>1661</v>
      </c>
      <c r="H33" s="13" t="s">
        <v>1977</v>
      </c>
      <c r="I33" s="13" t="s">
        <v>1978</v>
      </c>
      <c r="J33" s="13" t="s">
        <v>1661</v>
      </c>
      <c r="K33" s="13" t="s">
        <v>1978</v>
      </c>
      <c r="L33" s="13" t="s">
        <v>1979</v>
      </c>
      <c r="M33" s="13" t="s">
        <v>1661</v>
      </c>
      <c r="N33" s="13" t="s">
        <v>1651</v>
      </c>
      <c r="O33" s="13" t="s">
        <v>1980</v>
      </c>
      <c r="P33" s="13" t="s">
        <v>1661</v>
      </c>
      <c r="Q33" s="13" t="s">
        <v>1980</v>
      </c>
      <c r="R33" s="13" t="s">
        <v>1981</v>
      </c>
      <c r="S33" s="13" t="s">
        <v>1651</v>
      </c>
      <c r="T33" s="13" t="s">
        <v>1651</v>
      </c>
      <c r="U33" s="13" t="s">
        <v>1982</v>
      </c>
      <c r="V33" s="13" t="s">
        <v>1907</v>
      </c>
    </row>
    <row r="34" spans="1:22" x14ac:dyDescent="0.25">
      <c r="A34" s="13">
        <v>33</v>
      </c>
      <c r="B34" s="13" t="str">
        <f t="shared" ref="B34:B65" si="1">IFERROR(LEFT(D34, SEARCH("_", D34) - 1), D34)</f>
        <v>KB09119</v>
      </c>
      <c r="C34" s="13">
        <f>IF(COUNTIF(SelfDeveloped!$B:$B, B34)&gt;0, 1, 0)</f>
        <v>1</v>
      </c>
      <c r="D34" s="13" t="s">
        <v>1983</v>
      </c>
      <c r="E34" s="13" t="s">
        <v>1642</v>
      </c>
      <c r="F34" s="13" t="s">
        <v>1984</v>
      </c>
      <c r="G34" s="13" t="s">
        <v>1985</v>
      </c>
      <c r="H34" s="13" t="s">
        <v>1986</v>
      </c>
      <c r="I34" s="13" t="s">
        <v>1987</v>
      </c>
      <c r="J34" s="13" t="s">
        <v>1988</v>
      </c>
      <c r="K34" s="13" t="s">
        <v>1989</v>
      </c>
      <c r="L34" s="13" t="s">
        <v>1990</v>
      </c>
      <c r="M34" s="13" t="s">
        <v>1991</v>
      </c>
      <c r="N34" s="13" t="s">
        <v>1651</v>
      </c>
      <c r="O34" s="13" t="s">
        <v>1992</v>
      </c>
      <c r="P34" s="13" t="s">
        <v>1993</v>
      </c>
      <c r="Q34" s="13" t="s">
        <v>1994</v>
      </c>
      <c r="R34" s="13" t="s">
        <v>1995</v>
      </c>
      <c r="S34" s="13" t="s">
        <v>1996</v>
      </c>
      <c r="T34" s="13" t="s">
        <v>1651</v>
      </c>
      <c r="U34" s="13" t="s">
        <v>1997</v>
      </c>
      <c r="V34" s="13" t="s">
        <v>1998</v>
      </c>
    </row>
    <row r="35" spans="1:22" x14ac:dyDescent="0.25">
      <c r="A35" s="13">
        <v>34</v>
      </c>
      <c r="B35" s="13" t="str">
        <f t="shared" si="1"/>
        <v>KB004</v>
      </c>
      <c r="C35" s="13">
        <f>IF(COUNTIF(SelfDeveloped!$B:$B, B35)&gt;0, 1, 0)</f>
        <v>0</v>
      </c>
      <c r="D35" s="13" t="s">
        <v>1999</v>
      </c>
      <c r="E35" s="13" t="s">
        <v>1642</v>
      </c>
      <c r="F35" s="13" t="s">
        <v>2000</v>
      </c>
      <c r="G35" s="13" t="s">
        <v>1661</v>
      </c>
      <c r="H35" s="13" t="s">
        <v>2000</v>
      </c>
      <c r="I35" s="13" t="s">
        <v>2001</v>
      </c>
      <c r="J35" s="13" t="s">
        <v>1661</v>
      </c>
      <c r="K35" s="13" t="s">
        <v>2001</v>
      </c>
      <c r="L35" s="13" t="s">
        <v>2002</v>
      </c>
      <c r="M35" s="13" t="s">
        <v>1661</v>
      </c>
      <c r="N35" s="13" t="s">
        <v>1651</v>
      </c>
      <c r="O35" s="13" t="s">
        <v>2003</v>
      </c>
      <c r="P35" s="13" t="s">
        <v>1661</v>
      </c>
      <c r="Q35" s="13" t="s">
        <v>2003</v>
      </c>
      <c r="R35" s="13" t="s">
        <v>2004</v>
      </c>
      <c r="S35" s="13" t="s">
        <v>1651</v>
      </c>
      <c r="T35" s="13" t="s">
        <v>1651</v>
      </c>
      <c r="U35" s="13" t="s">
        <v>2005</v>
      </c>
      <c r="V35" s="13" t="s">
        <v>2006</v>
      </c>
    </row>
    <row r="36" spans="1:22" x14ac:dyDescent="0.25">
      <c r="A36" s="13">
        <v>35</v>
      </c>
      <c r="B36" s="13" t="str">
        <f t="shared" si="1"/>
        <v>BK2007</v>
      </c>
      <c r="C36" s="13">
        <f>IF(COUNTIF(SelfDeveloped!$B:$B, B36)&gt;0, 1, 0)</f>
        <v>1</v>
      </c>
      <c r="D36" s="13" t="s">
        <v>2007</v>
      </c>
      <c r="E36" s="13" t="s">
        <v>1642</v>
      </c>
      <c r="F36" s="13" t="s">
        <v>2008</v>
      </c>
      <c r="G36" s="13" t="s">
        <v>2009</v>
      </c>
      <c r="H36" s="13" t="s">
        <v>2010</v>
      </c>
      <c r="I36" s="13" t="s">
        <v>2011</v>
      </c>
      <c r="J36" s="13" t="s">
        <v>2012</v>
      </c>
      <c r="K36" s="13" t="s">
        <v>2013</v>
      </c>
      <c r="L36" s="13" t="s">
        <v>2014</v>
      </c>
      <c r="M36" s="13" t="s">
        <v>1732</v>
      </c>
      <c r="N36" s="13" t="s">
        <v>1651</v>
      </c>
      <c r="O36" s="13" t="s">
        <v>2015</v>
      </c>
      <c r="P36" s="13" t="s">
        <v>2016</v>
      </c>
      <c r="Q36" s="13" t="s">
        <v>2017</v>
      </c>
      <c r="R36" s="13" t="s">
        <v>1886</v>
      </c>
      <c r="S36" s="13" t="s">
        <v>1799</v>
      </c>
      <c r="T36" s="13" t="s">
        <v>1651</v>
      </c>
      <c r="U36" s="13" t="s">
        <v>2018</v>
      </c>
      <c r="V36" s="13" t="s">
        <v>2019</v>
      </c>
    </row>
    <row r="37" spans="1:22" x14ac:dyDescent="0.25">
      <c r="A37" s="13">
        <v>36</v>
      </c>
      <c r="B37" s="13" t="str">
        <f t="shared" si="1"/>
        <v>KB09118</v>
      </c>
      <c r="C37" s="13">
        <f>IF(COUNTIF(SelfDeveloped!$B:$B, B37)&gt;0, 1, 0)</f>
        <v>1</v>
      </c>
      <c r="D37" s="13" t="s">
        <v>2524</v>
      </c>
      <c r="E37" s="13" t="s">
        <v>1642</v>
      </c>
      <c r="F37" s="13" t="s">
        <v>2020</v>
      </c>
      <c r="G37" s="13" t="s">
        <v>2021</v>
      </c>
      <c r="H37" s="13" t="s">
        <v>2022</v>
      </c>
      <c r="I37" s="13" t="s">
        <v>2023</v>
      </c>
      <c r="J37" s="13" t="s">
        <v>2024</v>
      </c>
      <c r="K37" s="13" t="s">
        <v>2025</v>
      </c>
      <c r="L37" s="13" t="s">
        <v>2026</v>
      </c>
      <c r="M37" s="13" t="s">
        <v>2027</v>
      </c>
      <c r="N37" s="13" t="s">
        <v>1651</v>
      </c>
      <c r="O37" s="13" t="s">
        <v>2028</v>
      </c>
      <c r="P37" s="13" t="s">
        <v>2029</v>
      </c>
      <c r="Q37" s="13" t="s">
        <v>2030</v>
      </c>
      <c r="R37" s="13" t="s">
        <v>2031</v>
      </c>
      <c r="S37" s="13" t="s">
        <v>2032</v>
      </c>
      <c r="T37" s="13" t="s">
        <v>1651</v>
      </c>
      <c r="U37" s="13" t="s">
        <v>2033</v>
      </c>
      <c r="V37" s="13" t="s">
        <v>2032</v>
      </c>
    </row>
    <row r="38" spans="1:22" x14ac:dyDescent="0.25">
      <c r="A38" s="13">
        <v>37</v>
      </c>
      <c r="B38" s="13" t="str">
        <f t="shared" si="1"/>
        <v>BK2009</v>
      </c>
      <c r="C38" s="13">
        <f>IF(COUNTIF(SelfDeveloped!$B:$B, B38)&gt;0, 1, 0)</f>
        <v>0</v>
      </c>
      <c r="D38" s="13" t="s">
        <v>2526</v>
      </c>
      <c r="E38" s="13" t="s">
        <v>1642</v>
      </c>
      <c r="F38" s="13" t="s">
        <v>2034</v>
      </c>
      <c r="G38" s="13" t="s">
        <v>2035</v>
      </c>
      <c r="H38" s="13" t="s">
        <v>2036</v>
      </c>
      <c r="I38" s="13" t="s">
        <v>2037</v>
      </c>
      <c r="J38" s="13" t="s">
        <v>2038</v>
      </c>
      <c r="K38" s="13" t="s">
        <v>2039</v>
      </c>
      <c r="L38" s="13" t="s">
        <v>2040</v>
      </c>
      <c r="M38" s="13" t="s">
        <v>2041</v>
      </c>
      <c r="N38" s="13" t="s">
        <v>1651</v>
      </c>
      <c r="O38" s="13" t="s">
        <v>2042</v>
      </c>
      <c r="P38" s="13" t="s">
        <v>2043</v>
      </c>
      <c r="Q38" s="13" t="s">
        <v>2044</v>
      </c>
      <c r="R38" s="13" t="s">
        <v>2045</v>
      </c>
      <c r="S38" s="13" t="s">
        <v>1846</v>
      </c>
      <c r="T38" s="13" t="s">
        <v>1651</v>
      </c>
      <c r="U38" s="13" t="s">
        <v>1661</v>
      </c>
      <c r="V38" s="13" t="s">
        <v>1651</v>
      </c>
    </row>
    <row r="39" spans="1:22" x14ac:dyDescent="0.25">
      <c r="A39" s="13">
        <v>38</v>
      </c>
      <c r="B39" s="13" t="str">
        <f t="shared" si="1"/>
        <v>KB02028</v>
      </c>
      <c r="C39" s="13">
        <f>IF(COUNTIF(SelfDeveloped!$B:$B, B39)&gt;0, 1, 0)</f>
        <v>1</v>
      </c>
      <c r="D39" s="13" t="s">
        <v>2046</v>
      </c>
      <c r="E39" s="13" t="s">
        <v>1642</v>
      </c>
      <c r="F39" s="13" t="s">
        <v>2047</v>
      </c>
      <c r="G39" s="13" t="s">
        <v>2048</v>
      </c>
      <c r="H39" s="13" t="s">
        <v>2049</v>
      </c>
      <c r="I39" s="13" t="s">
        <v>2050</v>
      </c>
      <c r="J39" s="13" t="s">
        <v>2051</v>
      </c>
      <c r="K39" s="13" t="s">
        <v>2052</v>
      </c>
      <c r="L39" s="13" t="s">
        <v>1683</v>
      </c>
      <c r="M39" s="13" t="s">
        <v>2053</v>
      </c>
      <c r="N39" s="13" t="s">
        <v>1651</v>
      </c>
      <c r="O39" s="13" t="s">
        <v>2054</v>
      </c>
      <c r="P39" s="13" t="s">
        <v>2055</v>
      </c>
      <c r="Q39" s="13" t="s">
        <v>2056</v>
      </c>
      <c r="R39" s="13" t="s">
        <v>2057</v>
      </c>
      <c r="S39" s="13" t="s">
        <v>2058</v>
      </c>
      <c r="T39" s="13" t="s">
        <v>1651</v>
      </c>
      <c r="U39" s="13" t="s">
        <v>2059</v>
      </c>
      <c r="V39" s="13" t="s">
        <v>1975</v>
      </c>
    </row>
    <row r="40" spans="1:22" x14ac:dyDescent="0.25">
      <c r="A40" s="13">
        <v>39</v>
      </c>
      <c r="B40" s="13" t="str">
        <f t="shared" si="1"/>
        <v>KB06101</v>
      </c>
      <c r="C40" s="13">
        <f>IF(COUNTIF(SelfDeveloped!$B:$B, B40)&gt;0, 1, 0)</f>
        <v>1</v>
      </c>
      <c r="D40" s="13" t="s">
        <v>2060</v>
      </c>
      <c r="E40" s="13" t="s">
        <v>1642</v>
      </c>
      <c r="F40" s="13" t="s">
        <v>2061</v>
      </c>
      <c r="G40" s="13" t="s">
        <v>2062</v>
      </c>
      <c r="H40" s="13" t="s">
        <v>2063</v>
      </c>
      <c r="I40" s="13" t="s">
        <v>2064</v>
      </c>
      <c r="J40" s="13" t="s">
        <v>2065</v>
      </c>
      <c r="K40" s="13" t="s">
        <v>2066</v>
      </c>
      <c r="L40" s="13" t="s">
        <v>2067</v>
      </c>
      <c r="M40" s="13" t="s">
        <v>2067</v>
      </c>
      <c r="N40" s="13" t="s">
        <v>1651</v>
      </c>
      <c r="O40" s="13" t="s">
        <v>2068</v>
      </c>
      <c r="P40" s="13" t="s">
        <v>2069</v>
      </c>
      <c r="Q40" s="13" t="s">
        <v>2070</v>
      </c>
      <c r="R40" s="13" t="s">
        <v>2071</v>
      </c>
      <c r="S40" s="13" t="s">
        <v>2072</v>
      </c>
      <c r="T40" s="13" t="s">
        <v>1651</v>
      </c>
      <c r="U40" s="13" t="s">
        <v>2073</v>
      </c>
      <c r="V40" s="13" t="s">
        <v>2074</v>
      </c>
    </row>
    <row r="41" spans="1:22" x14ac:dyDescent="0.25">
      <c r="A41" s="13">
        <v>40</v>
      </c>
      <c r="B41" s="13" t="str">
        <f t="shared" si="1"/>
        <v>MS02002</v>
      </c>
      <c r="C41" s="13">
        <f>IF(COUNTIF(SelfDeveloped!$B:$B, B41)&gt;0, 1, 0)</f>
        <v>1</v>
      </c>
      <c r="D41" s="13" t="s">
        <v>2527</v>
      </c>
      <c r="E41" s="13" t="s">
        <v>1709</v>
      </c>
      <c r="F41" s="13" t="s">
        <v>2075</v>
      </c>
      <c r="G41" s="13" t="s">
        <v>2076</v>
      </c>
      <c r="H41" s="13" t="s">
        <v>2077</v>
      </c>
      <c r="I41" s="13" t="s">
        <v>2078</v>
      </c>
      <c r="J41" s="13" t="s">
        <v>2079</v>
      </c>
      <c r="K41" s="13" t="s">
        <v>2080</v>
      </c>
      <c r="L41" s="13" t="s">
        <v>2081</v>
      </c>
      <c r="M41" s="13" t="s">
        <v>2082</v>
      </c>
      <c r="N41" s="13" t="s">
        <v>1651</v>
      </c>
      <c r="O41" s="13" t="s">
        <v>2083</v>
      </c>
      <c r="P41" s="13" t="s">
        <v>2084</v>
      </c>
      <c r="Q41" s="13" t="s">
        <v>2085</v>
      </c>
      <c r="R41" s="13" t="s">
        <v>2086</v>
      </c>
      <c r="S41" s="13" t="s">
        <v>2087</v>
      </c>
      <c r="T41" s="13" t="s">
        <v>1651</v>
      </c>
      <c r="U41" s="13" t="s">
        <v>2088</v>
      </c>
      <c r="V41" s="13" t="s">
        <v>2089</v>
      </c>
    </row>
    <row r="42" spans="1:22" x14ac:dyDescent="0.25">
      <c r="A42" s="13">
        <v>41</v>
      </c>
      <c r="B42" s="13" t="str">
        <f t="shared" si="1"/>
        <v>PTC003-11</v>
      </c>
      <c r="C42" s="13">
        <f>IF(COUNTIF(SelfDeveloped!$B:$B, B42)&gt;0, 1, 0)</f>
        <v>0</v>
      </c>
      <c r="D42" s="13" t="s">
        <v>2090</v>
      </c>
      <c r="E42" s="13" t="s">
        <v>2091</v>
      </c>
      <c r="F42" s="13" t="s">
        <v>2092</v>
      </c>
      <c r="G42" s="13" t="s">
        <v>2093</v>
      </c>
      <c r="H42" s="13" t="s">
        <v>2094</v>
      </c>
      <c r="I42" s="13" t="s">
        <v>2095</v>
      </c>
      <c r="J42" s="13" t="s">
        <v>2096</v>
      </c>
      <c r="K42" s="13" t="s">
        <v>2097</v>
      </c>
      <c r="L42" s="13" t="s">
        <v>2098</v>
      </c>
      <c r="M42" s="13" t="s">
        <v>2099</v>
      </c>
      <c r="N42" s="13" t="s">
        <v>1651</v>
      </c>
      <c r="O42" s="13" t="s">
        <v>2100</v>
      </c>
      <c r="P42" s="13" t="s">
        <v>2101</v>
      </c>
      <c r="Q42" s="13" t="s">
        <v>2102</v>
      </c>
      <c r="R42" s="13" t="s">
        <v>2103</v>
      </c>
      <c r="S42" s="13" t="s">
        <v>2104</v>
      </c>
      <c r="T42" s="13" t="s">
        <v>1651</v>
      </c>
      <c r="U42" s="13" t="s">
        <v>2105</v>
      </c>
      <c r="V42" s="13" t="s">
        <v>2106</v>
      </c>
    </row>
    <row r="43" spans="1:22" x14ac:dyDescent="0.25">
      <c r="A43" s="13">
        <v>42</v>
      </c>
      <c r="B43" s="13" t="str">
        <f t="shared" si="1"/>
        <v>KB09119-10</v>
      </c>
      <c r="C43" s="13">
        <f>IF(COUNTIF(SelfDeveloped!$B:$B, B43)&gt;0, 1, 0)</f>
        <v>1</v>
      </c>
      <c r="D43" s="13" t="s">
        <v>2107</v>
      </c>
      <c r="E43" s="13" t="s">
        <v>1642</v>
      </c>
      <c r="F43" s="13" t="s">
        <v>2108</v>
      </c>
      <c r="G43" s="13" t="s">
        <v>1661</v>
      </c>
      <c r="H43" s="13" t="s">
        <v>2108</v>
      </c>
      <c r="I43" s="13" t="s">
        <v>2109</v>
      </c>
      <c r="J43" s="13" t="s">
        <v>1661</v>
      </c>
      <c r="K43" s="13" t="s">
        <v>2109</v>
      </c>
      <c r="L43" s="13" t="s">
        <v>2110</v>
      </c>
      <c r="M43" s="13" t="s">
        <v>1661</v>
      </c>
      <c r="N43" s="13" t="s">
        <v>1651</v>
      </c>
      <c r="O43" s="13" t="s">
        <v>2111</v>
      </c>
      <c r="P43" s="13" t="s">
        <v>1661</v>
      </c>
      <c r="Q43" s="13" t="s">
        <v>2111</v>
      </c>
      <c r="R43" s="13" t="s">
        <v>1791</v>
      </c>
      <c r="S43" s="13" t="s">
        <v>1651</v>
      </c>
      <c r="T43" s="13" t="s">
        <v>1651</v>
      </c>
      <c r="U43" s="13" t="s">
        <v>2112</v>
      </c>
      <c r="V43" s="13" t="s">
        <v>2113</v>
      </c>
    </row>
    <row r="44" spans="1:22" x14ac:dyDescent="0.25">
      <c r="A44" s="13">
        <v>43</v>
      </c>
      <c r="B44" s="13" t="str">
        <f t="shared" si="1"/>
        <v>KB05114</v>
      </c>
      <c r="C44" s="13">
        <f>IF(COUNTIF(SelfDeveloped!$B:$B, B44)&gt;0, 1, 0)</f>
        <v>1</v>
      </c>
      <c r="D44" s="13" t="s">
        <v>2114</v>
      </c>
      <c r="E44" s="13" t="s">
        <v>1642</v>
      </c>
      <c r="F44" s="13" t="s">
        <v>2115</v>
      </c>
      <c r="G44" s="13" t="s">
        <v>1661</v>
      </c>
      <c r="H44" s="13" t="s">
        <v>2115</v>
      </c>
      <c r="I44" s="13" t="s">
        <v>2116</v>
      </c>
      <c r="J44" s="13" t="s">
        <v>1661</v>
      </c>
      <c r="K44" s="13" t="s">
        <v>2116</v>
      </c>
      <c r="L44" s="13" t="s">
        <v>2117</v>
      </c>
      <c r="M44" s="13" t="s">
        <v>1661</v>
      </c>
      <c r="N44" s="13" t="s">
        <v>1651</v>
      </c>
      <c r="O44" s="13" t="s">
        <v>2118</v>
      </c>
      <c r="P44" s="13" t="s">
        <v>1661</v>
      </c>
      <c r="Q44" s="13" t="s">
        <v>2118</v>
      </c>
      <c r="R44" s="13" t="s">
        <v>2119</v>
      </c>
      <c r="S44" s="13" t="s">
        <v>1651</v>
      </c>
      <c r="T44" s="13" t="s">
        <v>1651</v>
      </c>
      <c r="U44" s="13" t="s">
        <v>2120</v>
      </c>
      <c r="V44" s="13" t="s">
        <v>2121</v>
      </c>
    </row>
    <row r="45" spans="1:22" x14ac:dyDescent="0.25">
      <c r="A45" s="13">
        <v>44</v>
      </c>
      <c r="B45" s="13" t="str">
        <f t="shared" si="1"/>
        <v>KB01103</v>
      </c>
      <c r="C45" s="13">
        <f>IF(COUNTIF(SelfDeveloped!$B:$B, B45)&gt;0, 1, 0)</f>
        <v>1</v>
      </c>
      <c r="D45" s="13" t="s">
        <v>2122</v>
      </c>
      <c r="E45" s="13" t="s">
        <v>1642</v>
      </c>
      <c r="F45" s="13" t="s">
        <v>2123</v>
      </c>
      <c r="G45" s="13" t="s">
        <v>2124</v>
      </c>
      <c r="H45" s="13" t="s">
        <v>2125</v>
      </c>
      <c r="I45" s="13" t="s">
        <v>2126</v>
      </c>
      <c r="J45" s="13" t="s">
        <v>2127</v>
      </c>
      <c r="K45" s="13" t="s">
        <v>2128</v>
      </c>
      <c r="L45" s="13" t="s">
        <v>2129</v>
      </c>
      <c r="M45" s="13" t="s">
        <v>2130</v>
      </c>
      <c r="N45" s="13" t="s">
        <v>1651</v>
      </c>
      <c r="O45" s="13" t="s">
        <v>2131</v>
      </c>
      <c r="P45" s="13" t="s">
        <v>2132</v>
      </c>
      <c r="Q45" s="13" t="s">
        <v>2133</v>
      </c>
      <c r="R45" s="13" t="s">
        <v>2134</v>
      </c>
      <c r="S45" s="13" t="s">
        <v>2135</v>
      </c>
      <c r="T45" s="13" t="s">
        <v>1651</v>
      </c>
      <c r="U45" s="13" t="s">
        <v>2136</v>
      </c>
      <c r="V45" s="13" t="s">
        <v>2137</v>
      </c>
    </row>
    <row r="46" spans="1:22" x14ac:dyDescent="0.25">
      <c r="A46" s="13">
        <v>45</v>
      </c>
      <c r="B46" s="13" t="str">
        <f t="shared" si="1"/>
        <v>KB002</v>
      </c>
      <c r="C46" s="13">
        <f>IF(COUNTIF(SelfDeveloped!$B:$B, B46)&gt;0, 1, 0)</f>
        <v>1</v>
      </c>
      <c r="D46" s="13" t="s">
        <v>2138</v>
      </c>
      <c r="E46" s="13" t="s">
        <v>1642</v>
      </c>
      <c r="F46" s="13" t="s">
        <v>2139</v>
      </c>
      <c r="G46" s="13" t="s">
        <v>1661</v>
      </c>
      <c r="H46" s="13" t="s">
        <v>2139</v>
      </c>
      <c r="I46" s="13" t="s">
        <v>2140</v>
      </c>
      <c r="J46" s="13" t="s">
        <v>1661</v>
      </c>
      <c r="K46" s="13" t="s">
        <v>2140</v>
      </c>
      <c r="L46" s="13" t="s">
        <v>2141</v>
      </c>
      <c r="M46" s="13" t="s">
        <v>1661</v>
      </c>
      <c r="N46" s="13" t="s">
        <v>1651</v>
      </c>
      <c r="O46" s="13" t="s">
        <v>2142</v>
      </c>
      <c r="P46" s="13" t="s">
        <v>1661</v>
      </c>
      <c r="Q46" s="13" t="s">
        <v>2142</v>
      </c>
      <c r="R46" s="13" t="s">
        <v>1658</v>
      </c>
      <c r="S46" s="13" t="s">
        <v>1651</v>
      </c>
      <c r="T46" s="13" t="s">
        <v>1651</v>
      </c>
      <c r="U46" s="13" t="s">
        <v>2143</v>
      </c>
      <c r="V46" s="13" t="s">
        <v>1898</v>
      </c>
    </row>
    <row r="47" spans="1:22" x14ac:dyDescent="0.25">
      <c r="A47" s="13">
        <v>46</v>
      </c>
      <c r="B47" s="13" t="str">
        <f t="shared" si="1"/>
        <v>KB01105</v>
      </c>
      <c r="C47" s="13">
        <f>IF(COUNTIF(SelfDeveloped!$B:$B, B47)&gt;0, 1, 0)</f>
        <v>1</v>
      </c>
      <c r="D47" s="13" t="s">
        <v>2144</v>
      </c>
      <c r="E47" s="13" t="s">
        <v>1642</v>
      </c>
      <c r="F47" s="13" t="s">
        <v>2145</v>
      </c>
      <c r="G47" s="13" t="s">
        <v>1661</v>
      </c>
      <c r="H47" s="13" t="s">
        <v>2145</v>
      </c>
      <c r="I47" s="13" t="s">
        <v>2146</v>
      </c>
      <c r="J47" s="13" t="s">
        <v>1661</v>
      </c>
      <c r="K47" s="13" t="s">
        <v>2146</v>
      </c>
      <c r="L47" s="13" t="s">
        <v>1863</v>
      </c>
      <c r="M47" s="13" t="s">
        <v>1661</v>
      </c>
      <c r="N47" s="13" t="s">
        <v>1651</v>
      </c>
      <c r="O47" s="13" t="s">
        <v>2147</v>
      </c>
      <c r="P47" s="13" t="s">
        <v>1661</v>
      </c>
      <c r="Q47" s="13" t="s">
        <v>2147</v>
      </c>
      <c r="R47" s="13" t="s">
        <v>2148</v>
      </c>
      <c r="S47" s="13" t="s">
        <v>1651</v>
      </c>
      <c r="T47" s="13" t="s">
        <v>1651</v>
      </c>
      <c r="U47" s="13" t="s">
        <v>2149</v>
      </c>
      <c r="V47" s="13" t="s">
        <v>2150</v>
      </c>
    </row>
    <row r="48" spans="1:22" x14ac:dyDescent="0.25">
      <c r="A48" s="13">
        <v>47</v>
      </c>
      <c r="B48" s="13" t="str">
        <f t="shared" si="1"/>
        <v>KB19117</v>
      </c>
      <c r="C48" s="13">
        <f>IF(COUNTIF(SelfDeveloped!$B:$B, B48)&gt;0, 1, 0)</f>
        <v>1</v>
      </c>
      <c r="D48" s="13" t="s">
        <v>2515</v>
      </c>
      <c r="E48" s="13" t="s">
        <v>1642</v>
      </c>
      <c r="F48" s="13" t="s">
        <v>2151</v>
      </c>
      <c r="G48" s="13" t="s">
        <v>1661</v>
      </c>
      <c r="H48" s="13" t="s">
        <v>2151</v>
      </c>
      <c r="I48" s="13" t="s">
        <v>2152</v>
      </c>
      <c r="J48" s="13" t="s">
        <v>1661</v>
      </c>
      <c r="K48" s="13" t="s">
        <v>2152</v>
      </c>
      <c r="L48" s="13" t="s">
        <v>2153</v>
      </c>
      <c r="M48" s="13" t="s">
        <v>1661</v>
      </c>
      <c r="N48" s="13" t="s">
        <v>1651</v>
      </c>
      <c r="O48" s="13" t="s">
        <v>2154</v>
      </c>
      <c r="P48" s="13" t="s">
        <v>1661</v>
      </c>
      <c r="Q48" s="13" t="s">
        <v>2154</v>
      </c>
      <c r="R48" s="13" t="s">
        <v>2155</v>
      </c>
      <c r="S48" s="13" t="s">
        <v>1651</v>
      </c>
      <c r="T48" s="13" t="s">
        <v>1651</v>
      </c>
      <c r="U48" s="13" t="s">
        <v>2156</v>
      </c>
      <c r="V48" s="13" t="s">
        <v>2157</v>
      </c>
    </row>
    <row r="49" spans="1:22" x14ac:dyDescent="0.25">
      <c r="A49" s="13">
        <v>48</v>
      </c>
      <c r="B49" s="13" t="str">
        <f t="shared" si="1"/>
        <v>KB05111</v>
      </c>
      <c r="C49" s="13">
        <f>IF(COUNTIF(SelfDeveloped!$B:$B, B49)&gt;0, 1, 0)</f>
        <v>0</v>
      </c>
      <c r="D49" s="13" t="s">
        <v>2530</v>
      </c>
      <c r="E49" s="13" t="s">
        <v>1642</v>
      </c>
      <c r="F49" s="13" t="s">
        <v>2158</v>
      </c>
      <c r="G49" s="13" t="s">
        <v>2159</v>
      </c>
      <c r="H49" s="13" t="s">
        <v>2160</v>
      </c>
      <c r="I49" s="13" t="s">
        <v>2161</v>
      </c>
      <c r="J49" s="13" t="s">
        <v>2162</v>
      </c>
      <c r="K49" s="13" t="s">
        <v>2163</v>
      </c>
      <c r="L49" s="13" t="s">
        <v>1882</v>
      </c>
      <c r="M49" s="13" t="s">
        <v>2164</v>
      </c>
      <c r="N49" s="13" t="s">
        <v>1651</v>
      </c>
      <c r="O49" s="13" t="s">
        <v>2165</v>
      </c>
      <c r="P49" s="13" t="s">
        <v>2166</v>
      </c>
      <c r="Q49" s="13" t="s">
        <v>2167</v>
      </c>
      <c r="R49" s="13" t="s">
        <v>1944</v>
      </c>
      <c r="S49" s="13" t="s">
        <v>2074</v>
      </c>
      <c r="T49" s="13" t="s">
        <v>1651</v>
      </c>
      <c r="U49" s="13" t="s">
        <v>2168</v>
      </c>
      <c r="V49" s="13" t="s">
        <v>2169</v>
      </c>
    </row>
    <row r="50" spans="1:22" x14ac:dyDescent="0.25">
      <c r="A50" s="13">
        <v>49</v>
      </c>
      <c r="B50" s="13" t="str">
        <f t="shared" si="1"/>
        <v>KB06006</v>
      </c>
      <c r="C50" s="13">
        <f>IF(COUNTIF(SelfDeveloped!$B:$B, B50)&gt;0, 1, 0)</f>
        <v>1</v>
      </c>
      <c r="D50" s="13" t="s">
        <v>2170</v>
      </c>
      <c r="E50" s="13" t="s">
        <v>1818</v>
      </c>
      <c r="F50" s="13" t="s">
        <v>2171</v>
      </c>
      <c r="G50" s="13" t="s">
        <v>1661</v>
      </c>
      <c r="H50" s="13" t="s">
        <v>2171</v>
      </c>
      <c r="I50" s="13" t="s">
        <v>2172</v>
      </c>
      <c r="J50" s="13" t="s">
        <v>1661</v>
      </c>
      <c r="K50" s="13" t="s">
        <v>2172</v>
      </c>
      <c r="L50" s="13" t="s">
        <v>2173</v>
      </c>
      <c r="M50" s="13" t="s">
        <v>1661</v>
      </c>
      <c r="N50" s="13" t="s">
        <v>1651</v>
      </c>
      <c r="O50" s="13" t="s">
        <v>2174</v>
      </c>
      <c r="P50" s="13" t="s">
        <v>1661</v>
      </c>
      <c r="Q50" s="13" t="s">
        <v>2174</v>
      </c>
      <c r="R50" s="13" t="s">
        <v>2175</v>
      </c>
      <c r="S50" s="13" t="s">
        <v>1651</v>
      </c>
      <c r="T50" s="13" t="s">
        <v>1651</v>
      </c>
      <c r="U50" s="13" t="s">
        <v>2176</v>
      </c>
      <c r="V50" s="13" t="s">
        <v>2177</v>
      </c>
    </row>
    <row r="51" spans="1:22" x14ac:dyDescent="0.25">
      <c r="A51" s="13">
        <v>50</v>
      </c>
      <c r="B51" s="13" t="str">
        <f t="shared" si="1"/>
        <v>KB04118</v>
      </c>
      <c r="C51" s="13">
        <f>IF(COUNTIF(SelfDeveloped!$B:$B, B51)&gt;0, 1, 0)</f>
        <v>0</v>
      </c>
      <c r="D51" s="13" t="s">
        <v>2531</v>
      </c>
      <c r="E51" s="13" t="s">
        <v>1642</v>
      </c>
      <c r="F51" s="13" t="s">
        <v>2178</v>
      </c>
      <c r="G51" s="13" t="s">
        <v>2179</v>
      </c>
      <c r="H51" s="13" t="s">
        <v>2180</v>
      </c>
      <c r="I51" s="13" t="s">
        <v>2181</v>
      </c>
      <c r="J51" s="13" t="s">
        <v>2127</v>
      </c>
      <c r="K51" s="13" t="s">
        <v>2182</v>
      </c>
      <c r="L51" s="13" t="s">
        <v>2183</v>
      </c>
      <c r="M51" s="13" t="s">
        <v>2184</v>
      </c>
      <c r="N51" s="13" t="s">
        <v>1651</v>
      </c>
      <c r="O51" s="13" t="s">
        <v>2185</v>
      </c>
      <c r="P51" s="13" t="s">
        <v>2186</v>
      </c>
      <c r="Q51" s="13" t="s">
        <v>2187</v>
      </c>
      <c r="R51" s="13" t="s">
        <v>2188</v>
      </c>
      <c r="S51" s="13" t="s">
        <v>2148</v>
      </c>
      <c r="T51" s="13" t="s">
        <v>1651</v>
      </c>
      <c r="U51" s="13" t="s">
        <v>2189</v>
      </c>
      <c r="V51" s="13" t="s">
        <v>2190</v>
      </c>
    </row>
    <row r="52" spans="1:22" x14ac:dyDescent="0.25">
      <c r="A52" s="13">
        <v>51</v>
      </c>
      <c r="B52" s="13" t="str">
        <f t="shared" si="1"/>
        <v>KB404-11S</v>
      </c>
      <c r="C52" s="13">
        <f>IF(COUNTIF(SelfDeveloped!$B:$B, B52)&gt;0, 1, 0)</f>
        <v>0</v>
      </c>
      <c r="D52" s="13" t="s">
        <v>2191</v>
      </c>
      <c r="E52" s="13" t="s">
        <v>1642</v>
      </c>
      <c r="F52" s="13" t="s">
        <v>2192</v>
      </c>
      <c r="G52" s="13" t="s">
        <v>1661</v>
      </c>
      <c r="H52" s="13" t="s">
        <v>2192</v>
      </c>
      <c r="I52" s="13" t="s">
        <v>2193</v>
      </c>
      <c r="J52" s="13" t="s">
        <v>1661</v>
      </c>
      <c r="K52" s="13" t="s">
        <v>2193</v>
      </c>
      <c r="L52" s="13" t="s">
        <v>2194</v>
      </c>
      <c r="M52" s="13" t="s">
        <v>1661</v>
      </c>
      <c r="N52" s="13" t="s">
        <v>1651</v>
      </c>
      <c r="O52" s="13" t="s">
        <v>2195</v>
      </c>
      <c r="P52" s="13" t="s">
        <v>1661</v>
      </c>
      <c r="Q52" s="13" t="s">
        <v>2195</v>
      </c>
      <c r="R52" s="13" t="s">
        <v>2196</v>
      </c>
      <c r="S52" s="13" t="s">
        <v>1651</v>
      </c>
      <c r="T52" s="13" t="s">
        <v>1651</v>
      </c>
      <c r="U52" s="13" t="s">
        <v>2197</v>
      </c>
      <c r="V52" s="13" t="s">
        <v>2198</v>
      </c>
    </row>
    <row r="53" spans="1:22" x14ac:dyDescent="0.25">
      <c r="A53" s="13">
        <v>52</v>
      </c>
      <c r="B53" s="13" t="str">
        <f t="shared" si="1"/>
        <v>KB04112</v>
      </c>
      <c r="C53" s="13">
        <f>IF(COUNTIF(SelfDeveloped!$B:$B, B53)&gt;0, 1, 0)</f>
        <v>1</v>
      </c>
      <c r="D53" s="13" t="s">
        <v>2199</v>
      </c>
      <c r="E53" s="13" t="s">
        <v>1642</v>
      </c>
      <c r="F53" s="13" t="s">
        <v>2200</v>
      </c>
      <c r="G53" s="13" t="s">
        <v>2201</v>
      </c>
      <c r="H53" s="13" t="s">
        <v>2202</v>
      </c>
      <c r="I53" s="13" t="s">
        <v>2203</v>
      </c>
      <c r="J53" s="13" t="s">
        <v>2204</v>
      </c>
      <c r="K53" s="13" t="s">
        <v>2205</v>
      </c>
      <c r="L53" s="13" t="s">
        <v>2206</v>
      </c>
      <c r="M53" s="13" t="s">
        <v>2207</v>
      </c>
      <c r="N53" s="13" t="s">
        <v>1651</v>
      </c>
      <c r="O53" s="13" t="s">
        <v>2208</v>
      </c>
      <c r="P53" s="13" t="s">
        <v>2209</v>
      </c>
      <c r="Q53" s="13" t="s">
        <v>2210</v>
      </c>
      <c r="R53" s="13" t="s">
        <v>2211</v>
      </c>
      <c r="S53" s="13" t="s">
        <v>1975</v>
      </c>
      <c r="T53" s="13" t="s">
        <v>1651</v>
      </c>
      <c r="U53" s="13" t="s">
        <v>2212</v>
      </c>
      <c r="V53" s="13" t="s">
        <v>2213</v>
      </c>
    </row>
    <row r="54" spans="1:22" x14ac:dyDescent="0.25">
      <c r="A54" s="13">
        <v>53</v>
      </c>
      <c r="B54" s="13" t="str">
        <f t="shared" si="1"/>
        <v>KB04122</v>
      </c>
      <c r="C54" s="13">
        <f>IF(COUNTIF(SelfDeveloped!$B:$B, B54)&gt;0, 1, 0)</f>
        <v>1</v>
      </c>
      <c r="D54" s="13" t="s">
        <v>2214</v>
      </c>
      <c r="E54" s="13" t="s">
        <v>1642</v>
      </c>
      <c r="F54" s="13" t="s">
        <v>2215</v>
      </c>
      <c r="G54" s="13" t="s">
        <v>2216</v>
      </c>
      <c r="H54" s="13" t="s">
        <v>2217</v>
      </c>
      <c r="I54" s="13" t="s">
        <v>2218</v>
      </c>
      <c r="J54" s="13" t="s">
        <v>2219</v>
      </c>
      <c r="K54" s="13" t="s">
        <v>2220</v>
      </c>
      <c r="L54" s="13" t="s">
        <v>2221</v>
      </c>
      <c r="M54" s="13" t="s">
        <v>1650</v>
      </c>
      <c r="N54" s="13" t="s">
        <v>1651</v>
      </c>
      <c r="O54" s="13" t="s">
        <v>2222</v>
      </c>
      <c r="P54" s="13" t="s">
        <v>2223</v>
      </c>
      <c r="Q54" s="13" t="s">
        <v>2224</v>
      </c>
      <c r="R54" s="13" t="s">
        <v>2225</v>
      </c>
      <c r="S54" s="13" t="s">
        <v>2226</v>
      </c>
      <c r="T54" s="13" t="s">
        <v>1651</v>
      </c>
      <c r="U54" s="13" t="s">
        <v>2227</v>
      </c>
      <c r="V54" s="13" t="s">
        <v>2228</v>
      </c>
    </row>
    <row r="55" spans="1:22" x14ac:dyDescent="0.25">
      <c r="A55" s="13">
        <v>54</v>
      </c>
      <c r="B55" s="13" t="str">
        <f t="shared" si="1"/>
        <v>KB01003</v>
      </c>
      <c r="C55" s="13">
        <f>IF(COUNTIF(SelfDeveloped!$B:$B, B55)&gt;0, 1, 0)</f>
        <v>0</v>
      </c>
      <c r="D55" s="13" t="s">
        <v>2532</v>
      </c>
      <c r="E55" s="13" t="s">
        <v>1642</v>
      </c>
      <c r="F55" s="13" t="s">
        <v>2229</v>
      </c>
      <c r="G55" s="13" t="s">
        <v>1661</v>
      </c>
      <c r="H55" s="13" t="s">
        <v>2229</v>
      </c>
      <c r="I55" s="13" t="s">
        <v>2230</v>
      </c>
      <c r="J55" s="13" t="s">
        <v>1661</v>
      </c>
      <c r="K55" s="13" t="s">
        <v>2230</v>
      </c>
      <c r="L55" s="13" t="s">
        <v>2231</v>
      </c>
      <c r="M55" s="13" t="s">
        <v>1661</v>
      </c>
      <c r="N55" s="13" t="s">
        <v>1651</v>
      </c>
      <c r="O55" s="13" t="s">
        <v>2232</v>
      </c>
      <c r="P55" s="13" t="s">
        <v>1661</v>
      </c>
      <c r="Q55" s="13" t="s">
        <v>2232</v>
      </c>
      <c r="R55" s="13" t="s">
        <v>2233</v>
      </c>
      <c r="S55" s="13" t="s">
        <v>1651</v>
      </c>
      <c r="T55" s="13" t="s">
        <v>1651</v>
      </c>
      <c r="U55" s="13" t="s">
        <v>2234</v>
      </c>
      <c r="V55" s="13" t="s">
        <v>2235</v>
      </c>
    </row>
    <row r="56" spans="1:22" x14ac:dyDescent="0.25">
      <c r="A56" s="13">
        <v>55</v>
      </c>
      <c r="B56" s="13" t="str">
        <f t="shared" si="1"/>
        <v>KB02027</v>
      </c>
      <c r="C56" s="13">
        <f>IF(COUNTIF(SelfDeveloped!$B:$B, B56)&gt;0, 1, 0)</f>
        <v>1</v>
      </c>
      <c r="D56" s="13" t="s">
        <v>2236</v>
      </c>
      <c r="E56" s="13" t="s">
        <v>1642</v>
      </c>
      <c r="F56" s="13" t="s">
        <v>2237</v>
      </c>
      <c r="G56" s="13" t="s">
        <v>2238</v>
      </c>
      <c r="H56" s="13" t="s">
        <v>2239</v>
      </c>
      <c r="I56" s="13" t="s">
        <v>2240</v>
      </c>
      <c r="J56" s="13" t="s">
        <v>2241</v>
      </c>
      <c r="K56" s="13" t="s">
        <v>2242</v>
      </c>
      <c r="L56" s="13" t="s">
        <v>1797</v>
      </c>
      <c r="M56" s="13" t="s">
        <v>2243</v>
      </c>
      <c r="N56" s="13" t="s">
        <v>1651</v>
      </c>
      <c r="O56" s="13" t="s">
        <v>2244</v>
      </c>
      <c r="P56" s="13" t="s">
        <v>2245</v>
      </c>
      <c r="Q56" s="13" t="s">
        <v>2246</v>
      </c>
      <c r="R56" s="13" t="s">
        <v>2247</v>
      </c>
      <c r="S56" s="13" t="s">
        <v>1656</v>
      </c>
      <c r="T56" s="13" t="s">
        <v>1651</v>
      </c>
      <c r="U56" s="13" t="s">
        <v>2248</v>
      </c>
      <c r="V56" s="13" t="s">
        <v>2089</v>
      </c>
    </row>
    <row r="57" spans="1:22" x14ac:dyDescent="0.25">
      <c r="A57" s="13">
        <v>56</v>
      </c>
      <c r="B57" s="13" t="str">
        <f t="shared" si="1"/>
        <v>KB05114</v>
      </c>
      <c r="C57" s="13">
        <f>IF(COUNTIF(SelfDeveloped!$B:$B, B57)&gt;0, 1, 0)</f>
        <v>1</v>
      </c>
      <c r="D57" s="13" t="s">
        <v>2249</v>
      </c>
      <c r="E57" s="13" t="s">
        <v>1642</v>
      </c>
      <c r="F57" s="13" t="s">
        <v>2250</v>
      </c>
      <c r="G57" s="13" t="s">
        <v>2251</v>
      </c>
      <c r="H57" s="13" t="s">
        <v>2252</v>
      </c>
      <c r="I57" s="13" t="s">
        <v>2253</v>
      </c>
      <c r="J57" s="13" t="s">
        <v>2254</v>
      </c>
      <c r="K57" s="13" t="s">
        <v>2255</v>
      </c>
      <c r="L57" s="13" t="s">
        <v>2256</v>
      </c>
      <c r="M57" s="13" t="s">
        <v>2257</v>
      </c>
      <c r="N57" s="13" t="s">
        <v>1651</v>
      </c>
      <c r="O57" s="13" t="s">
        <v>2258</v>
      </c>
      <c r="P57" s="13" t="s">
        <v>2259</v>
      </c>
      <c r="Q57" s="13" t="s">
        <v>2260</v>
      </c>
      <c r="R57" s="13" t="s">
        <v>2247</v>
      </c>
      <c r="S57" s="13" t="s">
        <v>2261</v>
      </c>
      <c r="T57" s="13" t="s">
        <v>1651</v>
      </c>
      <c r="U57" s="13" t="s">
        <v>2262</v>
      </c>
      <c r="V57" s="13" t="s">
        <v>1900</v>
      </c>
    </row>
    <row r="58" spans="1:22" x14ac:dyDescent="0.25">
      <c r="A58" s="13">
        <v>57</v>
      </c>
      <c r="B58" s="13" t="str">
        <f t="shared" si="1"/>
        <v>KB01003</v>
      </c>
      <c r="C58" s="13">
        <f>IF(COUNTIF(SelfDeveloped!$B:$B, B58)&gt;0, 1, 0)</f>
        <v>0</v>
      </c>
      <c r="D58" s="13" t="s">
        <v>2263</v>
      </c>
      <c r="E58" s="13" t="s">
        <v>1642</v>
      </c>
      <c r="F58" s="13" t="s">
        <v>2264</v>
      </c>
      <c r="G58" s="13" t="s">
        <v>1661</v>
      </c>
      <c r="H58" s="13" t="s">
        <v>2264</v>
      </c>
      <c r="I58" s="13" t="s">
        <v>2265</v>
      </c>
      <c r="J58" s="13" t="s">
        <v>1661</v>
      </c>
      <c r="K58" s="13" t="s">
        <v>2265</v>
      </c>
      <c r="L58" s="13" t="s">
        <v>2266</v>
      </c>
      <c r="M58" s="13" t="s">
        <v>1661</v>
      </c>
      <c r="N58" s="13" t="s">
        <v>1651</v>
      </c>
      <c r="O58" s="13" t="s">
        <v>2267</v>
      </c>
      <c r="P58" s="13" t="s">
        <v>1661</v>
      </c>
      <c r="Q58" s="13" t="s">
        <v>2267</v>
      </c>
      <c r="R58" s="13" t="s">
        <v>2074</v>
      </c>
      <c r="S58" s="13" t="s">
        <v>1651</v>
      </c>
      <c r="T58" s="13" t="s">
        <v>1651</v>
      </c>
      <c r="U58" s="13" t="s">
        <v>2268</v>
      </c>
      <c r="V58" s="13" t="s">
        <v>2269</v>
      </c>
    </row>
    <row r="59" spans="1:22" x14ac:dyDescent="0.25">
      <c r="A59" s="13">
        <v>58</v>
      </c>
      <c r="B59" s="13" t="str">
        <f t="shared" si="1"/>
        <v>KB04122</v>
      </c>
      <c r="C59" s="13">
        <f>IF(COUNTIF(SelfDeveloped!$B:$B, B59)&gt;0, 1, 0)</f>
        <v>1</v>
      </c>
      <c r="D59" s="13" t="s">
        <v>2270</v>
      </c>
      <c r="E59" s="13" t="s">
        <v>1642</v>
      </c>
      <c r="F59" s="13" t="s">
        <v>2271</v>
      </c>
      <c r="G59" s="13" t="s">
        <v>1661</v>
      </c>
      <c r="H59" s="13" t="s">
        <v>2271</v>
      </c>
      <c r="I59" s="13" t="s">
        <v>2272</v>
      </c>
      <c r="J59" s="13" t="s">
        <v>1661</v>
      </c>
      <c r="K59" s="13" t="s">
        <v>2272</v>
      </c>
      <c r="L59" s="13" t="s">
        <v>2273</v>
      </c>
      <c r="M59" s="13" t="s">
        <v>1661</v>
      </c>
      <c r="N59" s="13" t="s">
        <v>1651</v>
      </c>
      <c r="O59" s="13" t="s">
        <v>2274</v>
      </c>
      <c r="P59" s="13" t="s">
        <v>1661</v>
      </c>
      <c r="Q59" s="13" t="s">
        <v>2274</v>
      </c>
      <c r="R59" s="13" t="s">
        <v>1927</v>
      </c>
      <c r="S59" s="13" t="s">
        <v>1651</v>
      </c>
      <c r="T59" s="13" t="s">
        <v>1651</v>
      </c>
      <c r="U59" s="13" t="s">
        <v>2275</v>
      </c>
      <c r="V59" s="13" t="s">
        <v>2276</v>
      </c>
    </row>
    <row r="60" spans="1:22" x14ac:dyDescent="0.25">
      <c r="A60" s="13">
        <v>59</v>
      </c>
      <c r="B60" s="13" t="str">
        <f t="shared" si="1"/>
        <v>KB09121</v>
      </c>
      <c r="C60" s="13">
        <f>IF(COUNTIF(SelfDeveloped!$B:$B, B60)&gt;0, 1, 0)</f>
        <v>0</v>
      </c>
      <c r="D60" s="13" t="s">
        <v>2277</v>
      </c>
      <c r="E60" s="13" t="s">
        <v>1642</v>
      </c>
      <c r="F60" s="13" t="s">
        <v>2278</v>
      </c>
      <c r="G60" s="13" t="s">
        <v>2279</v>
      </c>
      <c r="H60" s="13" t="s">
        <v>2280</v>
      </c>
      <c r="I60" s="13" t="s">
        <v>2281</v>
      </c>
      <c r="J60" s="13" t="s">
        <v>2282</v>
      </c>
      <c r="K60" s="13" t="s">
        <v>2283</v>
      </c>
      <c r="L60" s="13" t="s">
        <v>2284</v>
      </c>
      <c r="M60" s="13" t="s">
        <v>2285</v>
      </c>
      <c r="N60" s="13" t="s">
        <v>1651</v>
      </c>
      <c r="O60" s="13" t="s">
        <v>2286</v>
      </c>
      <c r="P60" s="13" t="s">
        <v>2287</v>
      </c>
      <c r="Q60" s="13" t="s">
        <v>2288</v>
      </c>
      <c r="R60" s="13" t="s">
        <v>2289</v>
      </c>
      <c r="S60" s="13" t="s">
        <v>2290</v>
      </c>
      <c r="T60" s="13" t="s">
        <v>1651</v>
      </c>
      <c r="U60" s="13" t="s">
        <v>2291</v>
      </c>
      <c r="V60" s="13" t="s">
        <v>1998</v>
      </c>
    </row>
    <row r="61" spans="1:22" x14ac:dyDescent="0.25">
      <c r="A61" s="13">
        <v>60</v>
      </c>
      <c r="B61" s="13" t="str">
        <f t="shared" si="1"/>
        <v>KB05113</v>
      </c>
      <c r="C61" s="13">
        <f>IF(COUNTIF(SelfDeveloped!$B:$B, B61)&gt;0, 1, 0)</f>
        <v>1</v>
      </c>
      <c r="D61" s="13" t="s">
        <v>2292</v>
      </c>
      <c r="E61" s="13" t="s">
        <v>1642</v>
      </c>
      <c r="F61" s="13" t="s">
        <v>2293</v>
      </c>
      <c r="G61" s="13" t="s">
        <v>2294</v>
      </c>
      <c r="H61" s="13" t="s">
        <v>2295</v>
      </c>
      <c r="I61" s="13" t="s">
        <v>2296</v>
      </c>
      <c r="J61" s="13" t="s">
        <v>2297</v>
      </c>
      <c r="K61" s="13" t="s">
        <v>2298</v>
      </c>
      <c r="L61" s="13" t="s">
        <v>2299</v>
      </c>
      <c r="M61" s="13" t="s">
        <v>2300</v>
      </c>
      <c r="N61" s="13" t="s">
        <v>1651</v>
      </c>
      <c r="O61" s="13" t="s">
        <v>2301</v>
      </c>
      <c r="P61" s="13" t="s">
        <v>2302</v>
      </c>
      <c r="Q61" s="13" t="s">
        <v>2303</v>
      </c>
      <c r="R61" s="13" t="s">
        <v>2228</v>
      </c>
      <c r="S61" s="13" t="s">
        <v>2304</v>
      </c>
      <c r="T61" s="13" t="s">
        <v>1651</v>
      </c>
      <c r="U61" s="13" t="s">
        <v>2305</v>
      </c>
      <c r="V61" s="13" t="s">
        <v>2306</v>
      </c>
    </row>
    <row r="62" spans="1:22" x14ac:dyDescent="0.25">
      <c r="A62" s="13">
        <v>61</v>
      </c>
      <c r="B62" s="13" t="str">
        <f t="shared" si="1"/>
        <v>KB403-10</v>
      </c>
      <c r="C62" s="13">
        <f>IF(COUNTIF(SelfDeveloped!$B:$B, B62)&gt;0, 1, 0)</f>
        <v>1</v>
      </c>
      <c r="D62" s="13" t="s">
        <v>2307</v>
      </c>
      <c r="E62" s="13" t="s">
        <v>1642</v>
      </c>
      <c r="F62" s="13" t="s">
        <v>2308</v>
      </c>
      <c r="G62" s="13" t="s">
        <v>1661</v>
      </c>
      <c r="H62" s="13" t="s">
        <v>2308</v>
      </c>
      <c r="I62" s="13" t="s">
        <v>2309</v>
      </c>
      <c r="J62" s="13" t="s">
        <v>1661</v>
      </c>
      <c r="K62" s="13" t="s">
        <v>2309</v>
      </c>
      <c r="L62" s="13" t="s">
        <v>2310</v>
      </c>
      <c r="M62" s="13" t="s">
        <v>1661</v>
      </c>
      <c r="N62" s="13" t="s">
        <v>1651</v>
      </c>
      <c r="O62" s="13" t="s">
        <v>2311</v>
      </c>
      <c r="P62" s="13" t="s">
        <v>1661</v>
      </c>
      <c r="Q62" s="13" t="s">
        <v>2311</v>
      </c>
      <c r="R62" s="13" t="s">
        <v>2312</v>
      </c>
      <c r="S62" s="13" t="s">
        <v>1651</v>
      </c>
      <c r="T62" s="13" t="s">
        <v>1651</v>
      </c>
      <c r="U62" s="13" t="s">
        <v>2313</v>
      </c>
      <c r="V62" s="13" t="s">
        <v>2314</v>
      </c>
    </row>
    <row r="63" spans="1:22" x14ac:dyDescent="0.25">
      <c r="A63" s="13">
        <v>62</v>
      </c>
      <c r="B63" s="13" t="str">
        <f t="shared" si="1"/>
        <v>KB09119</v>
      </c>
      <c r="C63" s="13">
        <f>IF(COUNTIF(SelfDeveloped!$B:$B, B63)&gt;0, 1, 0)</f>
        <v>1</v>
      </c>
      <c r="D63" s="13" t="s">
        <v>2315</v>
      </c>
      <c r="E63" s="13" t="s">
        <v>1642</v>
      </c>
      <c r="F63" s="13" t="s">
        <v>2316</v>
      </c>
      <c r="G63" s="13" t="s">
        <v>1661</v>
      </c>
      <c r="H63" s="13" t="s">
        <v>2316</v>
      </c>
      <c r="I63" s="13" t="s">
        <v>2317</v>
      </c>
      <c r="J63" s="13" t="s">
        <v>1661</v>
      </c>
      <c r="K63" s="13" t="s">
        <v>2317</v>
      </c>
      <c r="L63" s="13" t="s">
        <v>2318</v>
      </c>
      <c r="M63" s="13" t="s">
        <v>1661</v>
      </c>
      <c r="N63" s="13" t="s">
        <v>1651</v>
      </c>
      <c r="O63" s="13" t="s">
        <v>2319</v>
      </c>
      <c r="P63" s="13" t="s">
        <v>1661</v>
      </c>
      <c r="Q63" s="13" t="s">
        <v>2319</v>
      </c>
      <c r="R63" s="13" t="s">
        <v>2320</v>
      </c>
      <c r="S63" s="13" t="s">
        <v>1651</v>
      </c>
      <c r="T63" s="13" t="s">
        <v>1651</v>
      </c>
      <c r="U63" s="13" t="s">
        <v>2321</v>
      </c>
      <c r="V63" s="13" t="s">
        <v>1651</v>
      </c>
    </row>
    <row r="64" spans="1:22" x14ac:dyDescent="0.25">
      <c r="A64" s="13">
        <v>63</v>
      </c>
      <c r="B64" s="13" t="str">
        <f t="shared" si="1"/>
        <v>KB04111</v>
      </c>
      <c r="C64" s="13">
        <f>IF(COUNTIF(SelfDeveloped!$B:$B, B64)&gt;0, 1, 0)</f>
        <v>1</v>
      </c>
      <c r="D64" s="13" t="s">
        <v>2322</v>
      </c>
      <c r="E64" s="13" t="s">
        <v>1642</v>
      </c>
      <c r="F64" s="13" t="s">
        <v>2323</v>
      </c>
      <c r="G64" s="13" t="s">
        <v>2324</v>
      </c>
      <c r="H64" s="13" t="s">
        <v>2325</v>
      </c>
      <c r="I64" s="13" t="s">
        <v>2326</v>
      </c>
      <c r="J64" s="13" t="s">
        <v>2327</v>
      </c>
      <c r="K64" s="13" t="s">
        <v>2328</v>
      </c>
      <c r="L64" s="13" t="s">
        <v>2329</v>
      </c>
      <c r="M64" s="13" t="s">
        <v>2330</v>
      </c>
      <c r="N64" s="13" t="s">
        <v>1651</v>
      </c>
      <c r="O64" s="13" t="s">
        <v>2331</v>
      </c>
      <c r="P64" s="13" t="s">
        <v>2332</v>
      </c>
      <c r="Q64" s="13" t="s">
        <v>2333</v>
      </c>
      <c r="R64" s="13" t="s">
        <v>2334</v>
      </c>
      <c r="S64" s="13" t="s">
        <v>2335</v>
      </c>
      <c r="T64" s="13" t="s">
        <v>1651</v>
      </c>
      <c r="U64" s="13" t="s">
        <v>2336</v>
      </c>
      <c r="V64" s="13" t="s">
        <v>1770</v>
      </c>
    </row>
    <row r="65" spans="1:22" x14ac:dyDescent="0.25">
      <c r="A65" s="13">
        <v>64</v>
      </c>
      <c r="B65" s="13" t="str">
        <f t="shared" si="1"/>
        <v>KB04111</v>
      </c>
      <c r="C65" s="13">
        <f>IF(COUNTIF(SelfDeveloped!$B:$B, B65)&gt;0, 1, 0)</f>
        <v>1</v>
      </c>
      <c r="D65" s="13" t="s">
        <v>2337</v>
      </c>
      <c r="E65" s="13" t="s">
        <v>1642</v>
      </c>
      <c r="F65" s="13" t="s">
        <v>2338</v>
      </c>
      <c r="G65" s="13" t="s">
        <v>2339</v>
      </c>
      <c r="H65" s="13" t="s">
        <v>2340</v>
      </c>
      <c r="I65" s="13" t="s">
        <v>2341</v>
      </c>
      <c r="J65" s="13" t="s">
        <v>2342</v>
      </c>
      <c r="K65" s="13" t="s">
        <v>2343</v>
      </c>
      <c r="L65" s="13" t="s">
        <v>2344</v>
      </c>
      <c r="M65" s="13" t="s">
        <v>2345</v>
      </c>
      <c r="N65" s="13" t="s">
        <v>1651</v>
      </c>
      <c r="O65" s="13" t="s">
        <v>2346</v>
      </c>
      <c r="P65" s="13" t="s">
        <v>2347</v>
      </c>
      <c r="Q65" s="13" t="s">
        <v>2348</v>
      </c>
      <c r="R65" s="13" t="s">
        <v>2349</v>
      </c>
      <c r="S65" s="13" t="s">
        <v>2350</v>
      </c>
      <c r="T65" s="13" t="s">
        <v>1651</v>
      </c>
      <c r="U65" s="13" t="s">
        <v>2351</v>
      </c>
      <c r="V65" s="13" t="s">
        <v>1878</v>
      </c>
    </row>
    <row r="66" spans="1:22" x14ac:dyDescent="0.25">
      <c r="A66" s="13">
        <v>65</v>
      </c>
      <c r="B66" s="13" t="str">
        <f t="shared" ref="B66:B79" si="2">IFERROR(LEFT(D66, SEARCH("_", D66) - 1), D66)</f>
        <v>KB602</v>
      </c>
      <c r="C66" s="13">
        <f>IF(COUNTIF(SelfDeveloped!$B:$B, B66)&gt;0, 1, 0)</f>
        <v>1</v>
      </c>
      <c r="D66" s="13" t="s">
        <v>1723</v>
      </c>
      <c r="E66" s="13" t="s">
        <v>1818</v>
      </c>
      <c r="F66" s="13" t="s">
        <v>2352</v>
      </c>
      <c r="G66" s="13" t="s">
        <v>1661</v>
      </c>
      <c r="H66" s="13" t="s">
        <v>2352</v>
      </c>
      <c r="I66" s="13" t="s">
        <v>2353</v>
      </c>
      <c r="J66" s="13" t="s">
        <v>1661</v>
      </c>
      <c r="K66" s="13" t="s">
        <v>2353</v>
      </c>
      <c r="L66" s="13" t="s">
        <v>2354</v>
      </c>
      <c r="M66" s="13" t="s">
        <v>1661</v>
      </c>
      <c r="N66" s="13" t="s">
        <v>1651</v>
      </c>
      <c r="O66" s="13" t="s">
        <v>2355</v>
      </c>
      <c r="P66" s="13" t="s">
        <v>1661</v>
      </c>
      <c r="Q66" s="13" t="s">
        <v>2355</v>
      </c>
      <c r="R66" s="13" t="s">
        <v>1705</v>
      </c>
      <c r="S66" s="13" t="s">
        <v>1651</v>
      </c>
      <c r="T66" s="13" t="s">
        <v>1651</v>
      </c>
      <c r="U66" s="13" t="s">
        <v>2356</v>
      </c>
      <c r="V66" s="13" t="s">
        <v>2357</v>
      </c>
    </row>
    <row r="67" spans="1:22" x14ac:dyDescent="0.25">
      <c r="A67" s="13">
        <v>66</v>
      </c>
      <c r="B67" s="13" t="str">
        <f t="shared" si="2"/>
        <v>KB02027</v>
      </c>
      <c r="C67" s="13">
        <f>IF(COUNTIF(SelfDeveloped!$B:$B, B67)&gt;0, 1, 0)</f>
        <v>1</v>
      </c>
      <c r="D67" s="13" t="s">
        <v>2358</v>
      </c>
      <c r="E67" s="13" t="s">
        <v>1642</v>
      </c>
      <c r="F67" s="13" t="s">
        <v>2359</v>
      </c>
      <c r="G67" s="13" t="s">
        <v>2360</v>
      </c>
      <c r="H67" s="13" t="s">
        <v>2361</v>
      </c>
      <c r="I67" s="13" t="s">
        <v>2362</v>
      </c>
      <c r="J67" s="13" t="s">
        <v>2363</v>
      </c>
      <c r="K67" s="13" t="s">
        <v>2364</v>
      </c>
      <c r="L67" s="13" t="s">
        <v>1671</v>
      </c>
      <c r="M67" s="13" t="s">
        <v>2117</v>
      </c>
      <c r="N67" s="13" t="s">
        <v>1651</v>
      </c>
      <c r="O67" s="13" t="s">
        <v>2365</v>
      </c>
      <c r="P67" s="13" t="s">
        <v>2366</v>
      </c>
      <c r="Q67" s="13" t="s">
        <v>2367</v>
      </c>
      <c r="R67" s="13" t="s">
        <v>1898</v>
      </c>
      <c r="S67" s="13" t="s">
        <v>2368</v>
      </c>
      <c r="T67" s="13" t="s">
        <v>1651</v>
      </c>
      <c r="U67" s="13" t="s">
        <v>2369</v>
      </c>
      <c r="V67" s="13" t="s">
        <v>1704</v>
      </c>
    </row>
    <row r="68" spans="1:22" x14ac:dyDescent="0.25">
      <c r="A68" s="13">
        <v>68</v>
      </c>
      <c r="B68" s="13" t="str">
        <f t="shared" si="2"/>
        <v>KB04122</v>
      </c>
      <c r="C68" s="13">
        <f>IF(COUNTIF(SelfDeveloped!$B:$B, B68)&gt;0, 1, 0)</f>
        <v>1</v>
      </c>
      <c r="D68" s="13" t="s">
        <v>2370</v>
      </c>
      <c r="E68" s="13" t="s">
        <v>1642</v>
      </c>
      <c r="F68" s="13" t="s">
        <v>2371</v>
      </c>
      <c r="G68" s="13" t="s">
        <v>2372</v>
      </c>
      <c r="H68" s="13" t="s">
        <v>2373</v>
      </c>
      <c r="I68" s="13" t="s">
        <v>2374</v>
      </c>
      <c r="J68" s="13" t="s">
        <v>2375</v>
      </c>
      <c r="K68" s="13" t="s">
        <v>2376</v>
      </c>
      <c r="L68" s="13" t="s">
        <v>2377</v>
      </c>
      <c r="M68" s="13" t="s">
        <v>1797</v>
      </c>
      <c r="N68" s="13" t="s">
        <v>1651</v>
      </c>
      <c r="O68" s="13" t="s">
        <v>2378</v>
      </c>
      <c r="P68" s="13" t="s">
        <v>2379</v>
      </c>
      <c r="Q68" s="13" t="s">
        <v>2380</v>
      </c>
      <c r="R68" s="13" t="s">
        <v>2381</v>
      </c>
      <c r="S68" s="13" t="s">
        <v>2334</v>
      </c>
      <c r="T68" s="13" t="s">
        <v>1651</v>
      </c>
      <c r="U68" s="13" t="s">
        <v>2382</v>
      </c>
      <c r="V68" s="13" t="s">
        <v>1770</v>
      </c>
    </row>
    <row r="69" spans="1:22" x14ac:dyDescent="0.25">
      <c r="A69" s="13">
        <v>69</v>
      </c>
      <c r="B69" s="13" t="str">
        <f t="shared" si="2"/>
        <v>KB04122</v>
      </c>
      <c r="C69" s="13">
        <f>IF(COUNTIF(SelfDeveloped!$B:$B, B69)&gt;0, 1, 0)</f>
        <v>1</v>
      </c>
      <c r="D69" s="13" t="s">
        <v>2383</v>
      </c>
      <c r="E69" s="13" t="s">
        <v>1642</v>
      </c>
      <c r="F69" s="13" t="s">
        <v>2384</v>
      </c>
      <c r="G69" s="13" t="s">
        <v>2385</v>
      </c>
      <c r="H69" s="13" t="s">
        <v>2386</v>
      </c>
      <c r="I69" s="13" t="s">
        <v>2387</v>
      </c>
      <c r="J69" s="13" t="s">
        <v>2388</v>
      </c>
      <c r="K69" s="13" t="s">
        <v>2389</v>
      </c>
      <c r="L69" s="13" t="s">
        <v>2390</v>
      </c>
      <c r="M69" s="13" t="s">
        <v>2391</v>
      </c>
      <c r="N69" s="13" t="s">
        <v>1651</v>
      </c>
      <c r="O69" s="13" t="s">
        <v>2392</v>
      </c>
      <c r="P69" s="13" t="s">
        <v>2393</v>
      </c>
      <c r="Q69" s="13" t="s">
        <v>2394</v>
      </c>
      <c r="R69" s="13" t="s">
        <v>1817</v>
      </c>
      <c r="S69" s="13" t="s">
        <v>2190</v>
      </c>
      <c r="T69" s="13" t="s">
        <v>1651</v>
      </c>
      <c r="U69" s="13" t="s">
        <v>2395</v>
      </c>
      <c r="V69" s="13" t="s">
        <v>2226</v>
      </c>
    </row>
    <row r="70" spans="1:22" x14ac:dyDescent="0.25">
      <c r="A70" s="13">
        <v>70</v>
      </c>
      <c r="B70" s="13" t="str">
        <f t="shared" si="2"/>
        <v>KB09117</v>
      </c>
      <c r="C70" s="13">
        <f>IF(COUNTIF(SelfDeveloped!$B:$B, B70)&gt;0, 1, 0)</f>
        <v>1</v>
      </c>
      <c r="D70" s="13" t="s">
        <v>2534</v>
      </c>
      <c r="E70" s="13" t="s">
        <v>1642</v>
      </c>
      <c r="F70" s="13" t="s">
        <v>2396</v>
      </c>
      <c r="G70" s="13" t="s">
        <v>2397</v>
      </c>
      <c r="H70" s="13" t="s">
        <v>2398</v>
      </c>
      <c r="I70" s="13" t="s">
        <v>2399</v>
      </c>
      <c r="J70" s="13" t="s">
        <v>2400</v>
      </c>
      <c r="K70" s="13" t="s">
        <v>2401</v>
      </c>
      <c r="L70" s="13" t="s">
        <v>2402</v>
      </c>
      <c r="M70" s="13" t="s">
        <v>2403</v>
      </c>
      <c r="N70" s="13" t="s">
        <v>1651</v>
      </c>
      <c r="O70" s="13" t="s">
        <v>2404</v>
      </c>
      <c r="P70" s="13" t="s">
        <v>2405</v>
      </c>
      <c r="Q70" s="13" t="s">
        <v>2406</v>
      </c>
      <c r="R70" s="13" t="s">
        <v>1688</v>
      </c>
      <c r="S70" s="13" t="s">
        <v>1944</v>
      </c>
      <c r="T70" s="13" t="s">
        <v>1651</v>
      </c>
      <c r="U70" s="13" t="s">
        <v>2407</v>
      </c>
      <c r="V70" s="13" t="s">
        <v>2408</v>
      </c>
    </row>
    <row r="71" spans="1:22" x14ac:dyDescent="0.25">
      <c r="A71" s="13">
        <v>71</v>
      </c>
      <c r="B71" s="13" t="str">
        <f t="shared" si="2"/>
        <v>KB002</v>
      </c>
      <c r="C71" s="13">
        <f>IF(COUNTIF(SelfDeveloped!$B:$B, B71)&gt;0, 1, 0)</f>
        <v>1</v>
      </c>
      <c r="D71" s="13" t="s">
        <v>2409</v>
      </c>
      <c r="E71" s="13" t="s">
        <v>1642</v>
      </c>
      <c r="F71" s="13" t="s">
        <v>2410</v>
      </c>
      <c r="G71" s="13" t="s">
        <v>1661</v>
      </c>
      <c r="H71" s="13" t="s">
        <v>2410</v>
      </c>
      <c r="I71" s="13" t="s">
        <v>2411</v>
      </c>
      <c r="J71" s="13" t="s">
        <v>1661</v>
      </c>
      <c r="K71" s="13" t="s">
        <v>2411</v>
      </c>
      <c r="L71" s="13" t="s">
        <v>2141</v>
      </c>
      <c r="M71" s="13" t="s">
        <v>1661</v>
      </c>
      <c r="N71" s="13" t="s">
        <v>1651</v>
      </c>
      <c r="O71" s="13" t="s">
        <v>2412</v>
      </c>
      <c r="P71" s="13" t="s">
        <v>1661</v>
      </c>
      <c r="Q71" s="13" t="s">
        <v>2412</v>
      </c>
      <c r="R71" s="13" t="s">
        <v>2413</v>
      </c>
      <c r="S71" s="13" t="s">
        <v>1651</v>
      </c>
      <c r="T71" s="13" t="s">
        <v>1651</v>
      </c>
      <c r="U71" s="13" t="s">
        <v>2414</v>
      </c>
      <c r="V71" s="13" t="s">
        <v>2415</v>
      </c>
    </row>
    <row r="72" spans="1:22" x14ac:dyDescent="0.25">
      <c r="A72" s="13">
        <v>72</v>
      </c>
      <c r="B72" s="13" t="str">
        <f t="shared" si="2"/>
        <v>KB04122</v>
      </c>
      <c r="C72" s="13">
        <f>IF(COUNTIF(SelfDeveloped!$B:$B, B72)&gt;0, 1, 0)</f>
        <v>1</v>
      </c>
      <c r="D72" s="13" t="s">
        <v>2416</v>
      </c>
      <c r="E72" s="13" t="s">
        <v>1642</v>
      </c>
      <c r="F72" s="13" t="s">
        <v>2417</v>
      </c>
      <c r="G72" s="13" t="s">
        <v>1661</v>
      </c>
      <c r="H72" s="13" t="s">
        <v>2417</v>
      </c>
      <c r="I72" s="13" t="s">
        <v>2418</v>
      </c>
      <c r="J72" s="13" t="s">
        <v>1661</v>
      </c>
      <c r="K72" s="13" t="s">
        <v>2418</v>
      </c>
      <c r="L72" s="13" t="s">
        <v>2419</v>
      </c>
      <c r="M72" s="13" t="s">
        <v>1661</v>
      </c>
      <c r="N72" s="13" t="s">
        <v>1651</v>
      </c>
      <c r="O72" s="13" t="s">
        <v>2420</v>
      </c>
      <c r="P72" s="13" t="s">
        <v>1661</v>
      </c>
      <c r="Q72" s="13" t="s">
        <v>2420</v>
      </c>
      <c r="R72" s="13" t="s">
        <v>2421</v>
      </c>
      <c r="S72" s="13" t="s">
        <v>1651</v>
      </c>
      <c r="T72" s="13" t="s">
        <v>1651</v>
      </c>
      <c r="U72" s="13" t="s">
        <v>2422</v>
      </c>
      <c r="V72" s="13" t="s">
        <v>2074</v>
      </c>
    </row>
    <row r="73" spans="1:22" x14ac:dyDescent="0.25">
      <c r="A73" s="13">
        <v>73</v>
      </c>
      <c r="B73" s="13" t="str">
        <f t="shared" si="2"/>
        <v>BK2007-RGB</v>
      </c>
      <c r="C73" s="13">
        <f>IF(COUNTIF(SelfDeveloped!$B:$B, B73)&gt;0, 1, 0)</f>
        <v>1</v>
      </c>
      <c r="D73" s="13" t="s">
        <v>2423</v>
      </c>
      <c r="E73" s="13" t="s">
        <v>1642</v>
      </c>
      <c r="F73" s="13" t="s">
        <v>2424</v>
      </c>
      <c r="G73" s="13" t="s">
        <v>2425</v>
      </c>
      <c r="H73" s="13" t="s">
        <v>2426</v>
      </c>
      <c r="I73" s="13" t="s">
        <v>2427</v>
      </c>
      <c r="J73" s="13" t="s">
        <v>2428</v>
      </c>
      <c r="K73" s="13" t="s">
        <v>2429</v>
      </c>
      <c r="L73" s="13" t="s">
        <v>2430</v>
      </c>
      <c r="M73" s="13" t="s">
        <v>2431</v>
      </c>
      <c r="N73" s="13" t="s">
        <v>1651</v>
      </c>
      <c r="O73" s="13" t="s">
        <v>2432</v>
      </c>
      <c r="P73" s="13" t="s">
        <v>2433</v>
      </c>
      <c r="Q73" s="13" t="s">
        <v>2434</v>
      </c>
      <c r="R73" s="13" t="s">
        <v>2435</v>
      </c>
      <c r="S73" s="13" t="s">
        <v>2436</v>
      </c>
      <c r="T73" s="13" t="s">
        <v>1651</v>
      </c>
      <c r="U73" s="13" t="s">
        <v>2437</v>
      </c>
      <c r="V73" s="13" t="s">
        <v>2438</v>
      </c>
    </row>
    <row r="74" spans="1:22" x14ac:dyDescent="0.25">
      <c r="A74" s="13">
        <v>74</v>
      </c>
      <c r="B74" s="13" t="str">
        <f t="shared" si="2"/>
        <v>KB04002</v>
      </c>
      <c r="C74" s="13">
        <f>IF(COUNTIF(SelfDeveloped!$B:$B, B74)&gt;0, 1, 0)</f>
        <v>1</v>
      </c>
      <c r="D74" s="13" t="s">
        <v>2439</v>
      </c>
      <c r="E74" s="13" t="s">
        <v>1642</v>
      </c>
      <c r="F74" s="13" t="s">
        <v>2440</v>
      </c>
      <c r="G74" s="13" t="s">
        <v>2441</v>
      </c>
      <c r="H74" s="13" t="s">
        <v>2442</v>
      </c>
      <c r="I74" s="13" t="s">
        <v>2443</v>
      </c>
      <c r="J74" s="13" t="s">
        <v>2444</v>
      </c>
      <c r="K74" s="13" t="s">
        <v>2445</v>
      </c>
      <c r="L74" s="13" t="s">
        <v>2446</v>
      </c>
      <c r="M74" s="13" t="s">
        <v>2447</v>
      </c>
      <c r="N74" s="13" t="s">
        <v>1651</v>
      </c>
      <c r="O74" s="13" t="s">
        <v>2448</v>
      </c>
      <c r="P74" s="13" t="s">
        <v>2449</v>
      </c>
      <c r="Q74" s="13" t="s">
        <v>2450</v>
      </c>
      <c r="R74" s="13" t="s">
        <v>2226</v>
      </c>
      <c r="S74" s="13" t="s">
        <v>2451</v>
      </c>
      <c r="T74" s="13" t="s">
        <v>1651</v>
      </c>
      <c r="U74" s="13" t="s">
        <v>1661</v>
      </c>
      <c r="V74" s="13" t="s">
        <v>1651</v>
      </c>
    </row>
    <row r="75" spans="1:22" x14ac:dyDescent="0.25">
      <c r="A75" s="13">
        <v>75</v>
      </c>
      <c r="B75" s="13" t="str">
        <f t="shared" si="2"/>
        <v>KB04112</v>
      </c>
      <c r="C75" s="13">
        <f>IF(COUNTIF(SelfDeveloped!$B:$B, B75)&gt;0, 1, 0)</f>
        <v>1</v>
      </c>
      <c r="D75" s="13" t="s">
        <v>2452</v>
      </c>
      <c r="E75" s="13" t="s">
        <v>1642</v>
      </c>
      <c r="F75" s="13" t="s">
        <v>2453</v>
      </c>
      <c r="G75" s="13" t="s">
        <v>1661</v>
      </c>
      <c r="H75" s="13" t="s">
        <v>2453</v>
      </c>
      <c r="I75" s="13" t="s">
        <v>2454</v>
      </c>
      <c r="J75" s="13" t="s">
        <v>1661</v>
      </c>
      <c r="K75" s="13" t="s">
        <v>2454</v>
      </c>
      <c r="L75" s="13" t="s">
        <v>2455</v>
      </c>
      <c r="M75" s="13" t="s">
        <v>1661</v>
      </c>
      <c r="N75" s="13" t="s">
        <v>1651</v>
      </c>
      <c r="O75" s="13" t="s">
        <v>2456</v>
      </c>
      <c r="P75" s="13" t="s">
        <v>1661</v>
      </c>
      <c r="Q75" s="13" t="s">
        <v>2456</v>
      </c>
      <c r="R75" s="13" t="s">
        <v>2457</v>
      </c>
      <c r="S75" s="13" t="s">
        <v>1651</v>
      </c>
      <c r="T75" s="13" t="s">
        <v>1651</v>
      </c>
      <c r="U75" s="13" t="s">
        <v>2458</v>
      </c>
      <c r="V75" s="13" t="s">
        <v>1878</v>
      </c>
    </row>
    <row r="76" spans="1:22" x14ac:dyDescent="0.25">
      <c r="A76" s="13">
        <v>76</v>
      </c>
      <c r="B76" s="13" t="str">
        <f t="shared" si="2"/>
        <v>KB04111</v>
      </c>
      <c r="C76" s="13">
        <f>IF(COUNTIF(SelfDeveloped!$B:$B, B76)&gt;0, 1, 0)</f>
        <v>1</v>
      </c>
      <c r="D76" s="13" t="s">
        <v>2459</v>
      </c>
      <c r="E76" s="13" t="s">
        <v>1642</v>
      </c>
      <c r="F76" s="13" t="s">
        <v>2460</v>
      </c>
      <c r="G76" s="13" t="s">
        <v>2461</v>
      </c>
      <c r="H76" s="13" t="s">
        <v>2462</v>
      </c>
      <c r="I76" s="13" t="s">
        <v>2463</v>
      </c>
      <c r="J76" s="13" t="s">
        <v>2464</v>
      </c>
      <c r="K76" s="13" t="s">
        <v>2465</v>
      </c>
      <c r="L76" s="13" t="s">
        <v>2466</v>
      </c>
      <c r="M76" s="13" t="s">
        <v>1953</v>
      </c>
      <c r="N76" s="13" t="s">
        <v>1651</v>
      </c>
      <c r="O76" s="13" t="s">
        <v>2467</v>
      </c>
      <c r="P76" s="13" t="s">
        <v>2468</v>
      </c>
      <c r="Q76" s="13" t="s">
        <v>2469</v>
      </c>
      <c r="R76" s="13" t="s">
        <v>2470</v>
      </c>
      <c r="S76" s="13" t="s">
        <v>2471</v>
      </c>
      <c r="T76" s="13" t="s">
        <v>1651</v>
      </c>
      <c r="U76" s="13" t="s">
        <v>2472</v>
      </c>
      <c r="V76" s="13" t="s">
        <v>2357</v>
      </c>
    </row>
    <row r="77" spans="1:22" x14ac:dyDescent="0.25">
      <c r="A77" s="13">
        <v>77</v>
      </c>
      <c r="B77" s="13" t="str">
        <f t="shared" si="2"/>
        <v>KB04122-11</v>
      </c>
      <c r="C77" s="13">
        <f>IF(COUNTIF(SelfDeveloped!$B:$B, B77)&gt;0, 1, 0)</f>
        <v>1</v>
      </c>
      <c r="D77" s="13" t="s">
        <v>2473</v>
      </c>
      <c r="E77" s="13" t="s">
        <v>1642</v>
      </c>
      <c r="F77" s="13" t="s">
        <v>2474</v>
      </c>
      <c r="G77" s="13" t="s">
        <v>2475</v>
      </c>
      <c r="H77" s="13" t="s">
        <v>2476</v>
      </c>
      <c r="I77" s="13" t="s">
        <v>2477</v>
      </c>
      <c r="J77" s="13" t="s">
        <v>2478</v>
      </c>
      <c r="K77" s="13" t="s">
        <v>2479</v>
      </c>
      <c r="L77" s="13" t="s">
        <v>2480</v>
      </c>
      <c r="M77" s="13" t="s">
        <v>2481</v>
      </c>
      <c r="N77" s="13" t="s">
        <v>1651</v>
      </c>
      <c r="O77" s="13" t="s">
        <v>2482</v>
      </c>
      <c r="P77" s="13" t="s">
        <v>2483</v>
      </c>
      <c r="Q77" s="13" t="s">
        <v>2484</v>
      </c>
      <c r="R77" s="13" t="s">
        <v>2485</v>
      </c>
      <c r="S77" s="13" t="s">
        <v>2486</v>
      </c>
      <c r="T77" s="13" t="s">
        <v>1651</v>
      </c>
      <c r="U77" s="13" t="s">
        <v>2487</v>
      </c>
      <c r="V77" s="13" t="s">
        <v>2488</v>
      </c>
    </row>
    <row r="78" spans="1:22" x14ac:dyDescent="0.25">
      <c r="A78" s="13">
        <v>78</v>
      </c>
      <c r="B78" s="13" t="str">
        <f t="shared" si="2"/>
        <v>KB02017</v>
      </c>
      <c r="C78" s="13">
        <f>IF(COUNTIF(SelfDeveloped!$B:$B, B78)&gt;0, 1, 0)</f>
        <v>1</v>
      </c>
      <c r="D78" s="13" t="s">
        <v>2489</v>
      </c>
      <c r="E78" s="13" t="s">
        <v>1642</v>
      </c>
      <c r="F78" s="13" t="s">
        <v>2490</v>
      </c>
      <c r="G78" s="13" t="s">
        <v>2491</v>
      </c>
      <c r="H78" s="13" t="s">
        <v>2492</v>
      </c>
      <c r="I78" s="13" t="s">
        <v>2493</v>
      </c>
      <c r="J78" s="13" t="s">
        <v>2494</v>
      </c>
      <c r="K78" s="13" t="s">
        <v>2495</v>
      </c>
      <c r="L78" s="13" t="s">
        <v>2496</v>
      </c>
      <c r="M78" s="13" t="s">
        <v>2497</v>
      </c>
      <c r="N78" s="13" t="s">
        <v>1651</v>
      </c>
      <c r="O78" s="13" t="s">
        <v>2498</v>
      </c>
      <c r="P78" s="13" t="s">
        <v>2499</v>
      </c>
      <c r="Q78" s="13" t="s">
        <v>2500</v>
      </c>
      <c r="R78" s="13" t="s">
        <v>2501</v>
      </c>
      <c r="S78" s="13" t="s">
        <v>1689</v>
      </c>
      <c r="T78" s="13" t="s">
        <v>1651</v>
      </c>
      <c r="U78" s="13" t="s">
        <v>1661</v>
      </c>
      <c r="V78" s="13" t="s">
        <v>1651</v>
      </c>
    </row>
    <row r="79" spans="1:22" x14ac:dyDescent="0.25">
      <c r="A79" s="13">
        <v>79</v>
      </c>
      <c r="B79" s="13" t="str">
        <f t="shared" si="2"/>
        <v>KB06001</v>
      </c>
      <c r="C79" s="13">
        <f>IF(COUNTIF(SelfDeveloped!$B:$B, B79)&gt;0, 1, 0)</f>
        <v>0</v>
      </c>
      <c r="D79" s="13" t="s">
        <v>2536</v>
      </c>
      <c r="E79" s="13" t="s">
        <v>1642</v>
      </c>
      <c r="F79" s="13" t="s">
        <v>2502</v>
      </c>
      <c r="G79" s="13" t="s">
        <v>1661</v>
      </c>
      <c r="H79" s="13" t="s">
        <v>2502</v>
      </c>
      <c r="I79" s="13" t="s">
        <v>2503</v>
      </c>
      <c r="J79" s="13" t="s">
        <v>1661</v>
      </c>
      <c r="K79" s="13" t="s">
        <v>2503</v>
      </c>
      <c r="L79" s="13" t="s">
        <v>2504</v>
      </c>
      <c r="M79" s="13" t="s">
        <v>1661</v>
      </c>
      <c r="N79" s="13" t="s">
        <v>1651</v>
      </c>
      <c r="O79" s="13" t="s">
        <v>2505</v>
      </c>
      <c r="P79" s="13" t="s">
        <v>1661</v>
      </c>
      <c r="Q79" s="13" t="s">
        <v>2505</v>
      </c>
      <c r="R79" s="13" t="s">
        <v>2506</v>
      </c>
      <c r="S79" s="13" t="s">
        <v>1651</v>
      </c>
      <c r="T79" s="13" t="s">
        <v>1651</v>
      </c>
      <c r="U79" s="13" t="s">
        <v>2507</v>
      </c>
      <c r="V79" s="13" t="s">
        <v>1973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8DDA-33FF-49B4-9BF3-15B6B176D707}">
  <dimension ref="A1:D50"/>
  <sheetViews>
    <sheetView topLeftCell="A25" workbookViewId="0">
      <selection activeCell="J42" sqref="J42"/>
    </sheetView>
  </sheetViews>
  <sheetFormatPr defaultRowHeight="14.25" x14ac:dyDescent="0.2"/>
  <cols>
    <col min="1" max="4" width="11.125" customWidth="1"/>
  </cols>
  <sheetData>
    <row r="1" spans="1:4" x14ac:dyDescent="0.2">
      <c r="A1" s="14" t="s">
        <v>2554</v>
      </c>
      <c r="B1" s="14" t="s">
        <v>2559</v>
      </c>
      <c r="C1" t="s">
        <v>2556</v>
      </c>
      <c r="D1" t="s">
        <v>2557</v>
      </c>
    </row>
    <row r="2" spans="1:4" x14ac:dyDescent="0.2">
      <c r="A2" s="15" t="s">
        <v>2538</v>
      </c>
      <c r="B2" s="16">
        <v>0</v>
      </c>
      <c r="C2" s="16">
        <v>430891.4</v>
      </c>
      <c r="D2" s="16">
        <v>13330</v>
      </c>
    </row>
    <row r="3" spans="1:4" x14ac:dyDescent="0.2">
      <c r="A3" s="15" t="s">
        <v>10</v>
      </c>
      <c r="B3" s="16">
        <v>1</v>
      </c>
      <c r="C3" s="16">
        <v>1958533.2999999998</v>
      </c>
      <c r="D3" s="16">
        <v>55922</v>
      </c>
    </row>
    <row r="4" spans="1:4" x14ac:dyDescent="0.2">
      <c r="A4" s="15" t="s">
        <v>1616</v>
      </c>
      <c r="B4" s="16">
        <v>1</v>
      </c>
      <c r="C4" s="16">
        <v>454203.7</v>
      </c>
      <c r="D4" s="16">
        <v>7256</v>
      </c>
    </row>
    <row r="5" spans="1:4" x14ac:dyDescent="0.2">
      <c r="A5" s="15" t="s">
        <v>1614</v>
      </c>
      <c r="B5" s="16">
        <v>1</v>
      </c>
      <c r="C5" s="16">
        <v>211956.7</v>
      </c>
      <c r="D5" s="16">
        <v>5081</v>
      </c>
    </row>
    <row r="6" spans="1:4" x14ac:dyDescent="0.2">
      <c r="A6" s="15" t="s">
        <v>2548</v>
      </c>
      <c r="B6" s="16">
        <v>0</v>
      </c>
      <c r="C6" s="16">
        <v>28.1</v>
      </c>
      <c r="D6" s="16">
        <v>11</v>
      </c>
    </row>
    <row r="7" spans="1:4" x14ac:dyDescent="0.2">
      <c r="A7" s="15" t="s">
        <v>134</v>
      </c>
      <c r="B7" s="16">
        <v>1</v>
      </c>
      <c r="C7" s="16">
        <v>590447.5</v>
      </c>
      <c r="D7" s="16">
        <v>14745</v>
      </c>
    </row>
    <row r="8" spans="1:4" x14ac:dyDescent="0.2">
      <c r="A8" s="15" t="s">
        <v>2546</v>
      </c>
      <c r="B8" s="16">
        <v>0</v>
      </c>
      <c r="C8" s="16">
        <v>72303.899999999994</v>
      </c>
      <c r="D8" s="16">
        <v>2123</v>
      </c>
    </row>
    <row r="9" spans="1:4" x14ac:dyDescent="0.2">
      <c r="A9" s="15" t="s">
        <v>2547</v>
      </c>
      <c r="B9" s="16">
        <v>0</v>
      </c>
      <c r="C9" s="16">
        <v>56257.2</v>
      </c>
      <c r="D9" s="16">
        <v>1378</v>
      </c>
    </row>
    <row r="10" spans="1:4" x14ac:dyDescent="0.2">
      <c r="A10" s="15" t="s">
        <v>2551</v>
      </c>
      <c r="B10" s="16">
        <v>0</v>
      </c>
      <c r="C10" s="16">
        <v>105066.2</v>
      </c>
      <c r="D10" s="16">
        <v>5700</v>
      </c>
    </row>
    <row r="11" spans="1:4" x14ac:dyDescent="0.2">
      <c r="A11" s="15" t="s">
        <v>211</v>
      </c>
      <c r="B11" s="16">
        <v>1</v>
      </c>
      <c r="C11" s="16">
        <v>52864.9</v>
      </c>
      <c r="D11" s="16">
        <v>1706</v>
      </c>
    </row>
    <row r="12" spans="1:4" x14ac:dyDescent="0.2">
      <c r="A12" s="15" t="s">
        <v>246</v>
      </c>
      <c r="B12" s="16">
        <v>1</v>
      </c>
      <c r="C12" s="16">
        <v>179074.6</v>
      </c>
      <c r="D12" s="16">
        <v>4010</v>
      </c>
    </row>
    <row r="13" spans="1:4" x14ac:dyDescent="0.2">
      <c r="A13" s="15" t="s">
        <v>309</v>
      </c>
      <c r="B13" s="16">
        <v>1</v>
      </c>
      <c r="C13" s="16">
        <v>294581.2</v>
      </c>
      <c r="D13" s="16">
        <v>8637</v>
      </c>
    </row>
    <row r="14" spans="1:4" x14ac:dyDescent="0.2">
      <c r="A14" s="15" t="s">
        <v>2537</v>
      </c>
      <c r="B14" s="16">
        <v>0</v>
      </c>
      <c r="C14" s="16">
        <v>43462.3</v>
      </c>
      <c r="D14" s="16">
        <v>1142</v>
      </c>
    </row>
    <row r="15" spans="1:4" x14ac:dyDescent="0.2">
      <c r="A15" s="15" t="s">
        <v>2540</v>
      </c>
      <c r="B15" s="16">
        <v>1</v>
      </c>
      <c r="C15" s="16">
        <v>801.30000000000007</v>
      </c>
      <c r="D15" s="16">
        <v>31</v>
      </c>
    </row>
    <row r="16" spans="1:4" x14ac:dyDescent="0.2">
      <c r="A16" s="15" t="s">
        <v>2544</v>
      </c>
      <c r="B16" s="16">
        <v>0</v>
      </c>
      <c r="C16" s="16">
        <v>78232.899999999994</v>
      </c>
      <c r="D16" s="16">
        <v>1323</v>
      </c>
    </row>
    <row r="17" spans="1:4" x14ac:dyDescent="0.2">
      <c r="A17" s="15" t="s">
        <v>373</v>
      </c>
      <c r="B17" s="16">
        <v>1</v>
      </c>
      <c r="C17" s="16">
        <v>544482.5</v>
      </c>
      <c r="D17" s="16">
        <v>10228</v>
      </c>
    </row>
    <row r="18" spans="1:4" x14ac:dyDescent="0.2">
      <c r="A18" s="15" t="s">
        <v>449</v>
      </c>
      <c r="B18" s="16">
        <v>1</v>
      </c>
      <c r="C18" s="16">
        <v>200006</v>
      </c>
      <c r="D18" s="16">
        <v>5248</v>
      </c>
    </row>
    <row r="19" spans="1:4" x14ac:dyDescent="0.2">
      <c r="A19" s="15" t="s">
        <v>2517</v>
      </c>
      <c r="B19" s="16">
        <v>1</v>
      </c>
      <c r="C19" s="16">
        <v>819274.4</v>
      </c>
      <c r="D19" s="16">
        <v>23911</v>
      </c>
    </row>
    <row r="20" spans="1:4" x14ac:dyDescent="0.2">
      <c r="A20" s="15" t="s">
        <v>493</v>
      </c>
      <c r="B20" s="16">
        <v>1</v>
      </c>
      <c r="C20" s="16">
        <v>893998.10000000009</v>
      </c>
      <c r="D20" s="16">
        <v>18427</v>
      </c>
    </row>
    <row r="21" spans="1:4" x14ac:dyDescent="0.2">
      <c r="A21" s="15" t="s">
        <v>2510</v>
      </c>
      <c r="B21" s="16">
        <v>1</v>
      </c>
      <c r="C21" s="16">
        <v>36842</v>
      </c>
      <c r="D21" s="16">
        <v>769</v>
      </c>
    </row>
    <row r="22" spans="1:4" x14ac:dyDescent="0.2">
      <c r="A22" s="15" t="s">
        <v>533</v>
      </c>
      <c r="B22" s="16">
        <v>1</v>
      </c>
      <c r="C22" s="16">
        <v>461659</v>
      </c>
      <c r="D22" s="16">
        <v>9423</v>
      </c>
    </row>
    <row r="23" spans="1:4" x14ac:dyDescent="0.2">
      <c r="A23" s="15" t="s">
        <v>2545</v>
      </c>
      <c r="B23" s="16">
        <v>0</v>
      </c>
      <c r="C23" s="16">
        <v>737803.5</v>
      </c>
      <c r="D23" s="16">
        <v>9516</v>
      </c>
    </row>
    <row r="24" spans="1:4" x14ac:dyDescent="0.2">
      <c r="A24" s="15" t="s">
        <v>622</v>
      </c>
      <c r="B24" s="16">
        <v>1</v>
      </c>
      <c r="C24" s="16">
        <v>7804036.2999999998</v>
      </c>
      <c r="D24" s="16">
        <v>148378</v>
      </c>
    </row>
    <row r="25" spans="1:4" x14ac:dyDescent="0.2">
      <c r="A25" s="15" t="s">
        <v>2522</v>
      </c>
      <c r="B25" s="16">
        <v>1</v>
      </c>
      <c r="C25" s="16">
        <v>109843.90000000001</v>
      </c>
      <c r="D25" s="16">
        <v>2563</v>
      </c>
    </row>
    <row r="26" spans="1:4" x14ac:dyDescent="0.2">
      <c r="A26" s="15" t="s">
        <v>1560</v>
      </c>
      <c r="B26" s="16">
        <v>1</v>
      </c>
      <c r="C26" s="16">
        <v>693.4</v>
      </c>
      <c r="D26" s="16">
        <v>13</v>
      </c>
    </row>
    <row r="27" spans="1:4" x14ac:dyDescent="0.2">
      <c r="A27" s="15" t="s">
        <v>2550</v>
      </c>
      <c r="B27" s="16">
        <v>0</v>
      </c>
      <c r="C27" s="16">
        <v>50360.5</v>
      </c>
      <c r="D27" s="16">
        <v>1197</v>
      </c>
    </row>
    <row r="28" spans="1:4" x14ac:dyDescent="0.2">
      <c r="A28" s="15" t="s">
        <v>947</v>
      </c>
      <c r="B28" s="16">
        <v>1</v>
      </c>
      <c r="C28" s="16">
        <v>37756.400000000001</v>
      </c>
      <c r="D28" s="16">
        <v>670</v>
      </c>
    </row>
    <row r="29" spans="1:4" x14ac:dyDescent="0.2">
      <c r="A29" s="15" t="s">
        <v>961</v>
      </c>
      <c r="B29" s="16">
        <v>1</v>
      </c>
      <c r="C29" s="16">
        <v>220259.5</v>
      </c>
      <c r="D29" s="16">
        <v>3561</v>
      </c>
    </row>
    <row r="30" spans="1:4" x14ac:dyDescent="0.2">
      <c r="A30" s="15" t="s">
        <v>2553</v>
      </c>
      <c r="B30" s="16">
        <v>0</v>
      </c>
      <c r="C30" s="16">
        <v>31010.2</v>
      </c>
      <c r="D30" s="16">
        <v>1468</v>
      </c>
    </row>
    <row r="31" spans="1:4" x14ac:dyDescent="0.2">
      <c r="A31" s="15" t="s">
        <v>2542</v>
      </c>
      <c r="B31" s="16">
        <v>0</v>
      </c>
      <c r="C31" s="16">
        <v>69173.7</v>
      </c>
      <c r="D31" s="16">
        <v>1922</v>
      </c>
    </row>
    <row r="32" spans="1:4" x14ac:dyDescent="0.2">
      <c r="A32" s="15" t="s">
        <v>1076</v>
      </c>
      <c r="B32" s="16">
        <v>1</v>
      </c>
      <c r="C32" s="16">
        <v>21474.400000000001</v>
      </c>
      <c r="D32" s="16">
        <v>681</v>
      </c>
    </row>
    <row r="33" spans="1:4" x14ac:dyDescent="0.2">
      <c r="A33" s="15" t="s">
        <v>1095</v>
      </c>
      <c r="B33" s="16">
        <v>1</v>
      </c>
      <c r="C33" s="16">
        <v>94934.5</v>
      </c>
      <c r="D33" s="16">
        <v>2345</v>
      </c>
    </row>
    <row r="34" spans="1:4" x14ac:dyDescent="0.2">
      <c r="A34" s="15" t="s">
        <v>1123</v>
      </c>
      <c r="B34" s="16">
        <v>1</v>
      </c>
      <c r="C34" s="16">
        <v>76863.100000000006</v>
      </c>
      <c r="D34" s="16">
        <v>2689</v>
      </c>
    </row>
    <row r="35" spans="1:4" x14ac:dyDescent="0.2">
      <c r="A35" s="15" t="s">
        <v>991</v>
      </c>
      <c r="B35" s="16">
        <v>1</v>
      </c>
      <c r="C35" s="16">
        <v>26924.3</v>
      </c>
      <c r="D35" s="16">
        <v>640</v>
      </c>
    </row>
    <row r="36" spans="1:4" x14ac:dyDescent="0.2">
      <c r="A36" s="15" t="s">
        <v>2535</v>
      </c>
      <c r="B36" s="16">
        <v>1</v>
      </c>
      <c r="C36" s="16">
        <v>39076.400000000001</v>
      </c>
      <c r="D36" s="16">
        <v>453</v>
      </c>
    </row>
    <row r="37" spans="1:4" x14ac:dyDescent="0.2">
      <c r="A37" s="15" t="s">
        <v>2525</v>
      </c>
      <c r="B37" s="16">
        <v>1</v>
      </c>
      <c r="C37" s="16">
        <v>72550.3</v>
      </c>
      <c r="D37" s="16">
        <v>703</v>
      </c>
    </row>
    <row r="38" spans="1:4" x14ac:dyDescent="0.2">
      <c r="A38" s="15" t="s">
        <v>1564</v>
      </c>
      <c r="B38" s="16">
        <v>1</v>
      </c>
      <c r="C38" s="16">
        <v>1518545.7000000002</v>
      </c>
      <c r="D38" s="16">
        <v>20064</v>
      </c>
    </row>
    <row r="39" spans="1:4" x14ac:dyDescent="0.2">
      <c r="A39" s="15" t="s">
        <v>2513</v>
      </c>
      <c r="B39" s="16">
        <v>1</v>
      </c>
      <c r="C39" s="16">
        <v>1139986.8999999999</v>
      </c>
      <c r="D39" s="16">
        <v>16622</v>
      </c>
    </row>
    <row r="40" spans="1:4" x14ac:dyDescent="0.2">
      <c r="A40" s="15" t="s">
        <v>2512</v>
      </c>
      <c r="B40" s="16">
        <v>1</v>
      </c>
      <c r="C40" s="16">
        <v>8869.7000000000007</v>
      </c>
      <c r="D40" s="16">
        <v>213</v>
      </c>
    </row>
    <row r="41" spans="1:4" x14ac:dyDescent="0.2">
      <c r="A41" s="15" t="s">
        <v>2552</v>
      </c>
      <c r="B41" s="16">
        <v>0</v>
      </c>
      <c r="C41" s="16">
        <v>43270.3</v>
      </c>
      <c r="D41" s="16">
        <v>653</v>
      </c>
    </row>
    <row r="42" spans="1:4" x14ac:dyDescent="0.2">
      <c r="A42" s="15" t="s">
        <v>2529</v>
      </c>
      <c r="B42" s="16">
        <v>1</v>
      </c>
      <c r="C42" s="16">
        <v>16206.9</v>
      </c>
      <c r="D42" s="16">
        <v>284</v>
      </c>
    </row>
    <row r="43" spans="1:4" x14ac:dyDescent="0.2">
      <c r="A43" s="15" t="s">
        <v>2533</v>
      </c>
      <c r="B43" s="16">
        <v>1</v>
      </c>
      <c r="C43" s="16">
        <v>18589.599999999999</v>
      </c>
      <c r="D43" s="16">
        <v>269</v>
      </c>
    </row>
    <row r="44" spans="1:4" x14ac:dyDescent="0.2">
      <c r="A44" s="15" t="s">
        <v>2541</v>
      </c>
      <c r="B44" s="16">
        <v>0</v>
      </c>
      <c r="C44" s="16">
        <v>307534.19999999995</v>
      </c>
      <c r="D44" s="16">
        <v>5771</v>
      </c>
    </row>
    <row r="45" spans="1:4" x14ac:dyDescent="0.2">
      <c r="A45" s="15" t="s">
        <v>1409</v>
      </c>
      <c r="B45" s="16">
        <v>1</v>
      </c>
      <c r="C45" s="16">
        <v>93850</v>
      </c>
      <c r="D45" s="16">
        <v>2288</v>
      </c>
    </row>
    <row r="46" spans="1:4" x14ac:dyDescent="0.2">
      <c r="A46" s="15" t="s">
        <v>2543</v>
      </c>
      <c r="B46" s="16">
        <v>0</v>
      </c>
      <c r="C46" s="16">
        <v>13034.4</v>
      </c>
      <c r="D46" s="16">
        <v>413</v>
      </c>
    </row>
    <row r="47" spans="1:4" x14ac:dyDescent="0.2">
      <c r="A47" s="15" t="s">
        <v>2539</v>
      </c>
      <c r="B47" s="16">
        <v>0</v>
      </c>
      <c r="C47" s="16">
        <v>31798</v>
      </c>
      <c r="D47" s="16">
        <v>2141</v>
      </c>
    </row>
    <row r="48" spans="1:4" x14ac:dyDescent="0.2">
      <c r="A48" s="15" t="s">
        <v>2528</v>
      </c>
      <c r="B48" s="16">
        <v>1</v>
      </c>
      <c r="C48" s="16">
        <v>1354.6</v>
      </c>
      <c r="D48" s="16">
        <v>97</v>
      </c>
    </row>
    <row r="49" spans="1:4" x14ac:dyDescent="0.2">
      <c r="A49" s="15" t="s">
        <v>2549</v>
      </c>
      <c r="B49" s="16">
        <v>0</v>
      </c>
      <c r="C49" s="16">
        <v>4798.1000000000004</v>
      </c>
      <c r="D49" s="16">
        <v>309</v>
      </c>
    </row>
    <row r="50" spans="1:4" x14ac:dyDescent="0.2">
      <c r="A50" s="15" t="s">
        <v>2555</v>
      </c>
      <c r="B50" s="16">
        <v>1</v>
      </c>
      <c r="C50" s="16">
        <v>20075566.000000007</v>
      </c>
      <c r="D50" s="16">
        <v>416324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126E-6335-40DA-B231-EEBD6B8118C0}">
  <dimension ref="A1:D1048576"/>
  <sheetViews>
    <sheetView topLeftCell="A10" workbookViewId="0">
      <selection activeCell="G61" sqref="G61"/>
    </sheetView>
  </sheetViews>
  <sheetFormatPr defaultRowHeight="14.25" x14ac:dyDescent="0.2"/>
  <cols>
    <col min="1" max="1" width="16.875" customWidth="1"/>
    <col min="3" max="3" width="11.625" bestFit="1" customWidth="1"/>
    <col min="5" max="5" width="14.875" customWidth="1"/>
  </cols>
  <sheetData>
    <row r="1" spans="1:4" x14ac:dyDescent="0.2">
      <c r="A1" t="s">
        <v>2554</v>
      </c>
      <c r="B1" t="s">
        <v>2559</v>
      </c>
      <c r="C1" t="s">
        <v>2556</v>
      </c>
      <c r="D1" t="s">
        <v>2557</v>
      </c>
    </row>
    <row r="2" spans="1:4" x14ac:dyDescent="0.2">
      <c r="A2" t="s">
        <v>2538</v>
      </c>
      <c r="B2">
        <v>0</v>
      </c>
      <c r="C2">
        <v>430891.4</v>
      </c>
      <c r="D2">
        <v>13330</v>
      </c>
    </row>
    <row r="3" spans="1:4" x14ac:dyDescent="0.2">
      <c r="A3" t="s">
        <v>10</v>
      </c>
      <c r="B3">
        <v>1</v>
      </c>
      <c r="C3">
        <v>1958533.2999999998</v>
      </c>
      <c r="D3">
        <v>55922</v>
      </c>
    </row>
    <row r="4" spans="1:4" x14ac:dyDescent="0.2">
      <c r="A4" t="s">
        <v>1616</v>
      </c>
      <c r="B4">
        <v>1</v>
      </c>
      <c r="C4">
        <v>454203.7</v>
      </c>
      <c r="D4">
        <v>7256</v>
      </c>
    </row>
    <row r="5" spans="1:4" x14ac:dyDescent="0.2">
      <c r="A5" t="s">
        <v>1614</v>
      </c>
      <c r="B5">
        <v>1</v>
      </c>
      <c r="C5">
        <v>211956.7</v>
      </c>
      <c r="D5">
        <v>5081</v>
      </c>
    </row>
    <row r="6" spans="1:4" x14ac:dyDescent="0.2">
      <c r="A6" t="s">
        <v>2548</v>
      </c>
      <c r="B6">
        <v>0</v>
      </c>
      <c r="C6">
        <v>28.1</v>
      </c>
      <c r="D6">
        <v>11</v>
      </c>
    </row>
    <row r="7" spans="1:4" x14ac:dyDescent="0.2">
      <c r="A7" t="s">
        <v>134</v>
      </c>
      <c r="B7">
        <v>1</v>
      </c>
      <c r="C7">
        <v>590447.5</v>
      </c>
      <c r="D7">
        <v>14745</v>
      </c>
    </row>
    <row r="8" spans="1:4" x14ac:dyDescent="0.2">
      <c r="A8" t="s">
        <v>2546</v>
      </c>
      <c r="B8">
        <v>0</v>
      </c>
      <c r="C8">
        <v>72303.899999999994</v>
      </c>
      <c r="D8">
        <v>2123</v>
      </c>
    </row>
    <row r="9" spans="1:4" x14ac:dyDescent="0.2">
      <c r="A9" t="s">
        <v>2547</v>
      </c>
      <c r="B9">
        <v>0</v>
      </c>
      <c r="C9">
        <v>56257.2</v>
      </c>
      <c r="D9">
        <v>1378</v>
      </c>
    </row>
    <row r="10" spans="1:4" x14ac:dyDescent="0.2">
      <c r="A10" t="s">
        <v>2551</v>
      </c>
      <c r="B10">
        <v>0</v>
      </c>
      <c r="C10">
        <v>105066.2</v>
      </c>
      <c r="D10">
        <v>5700</v>
      </c>
    </row>
    <row r="11" spans="1:4" x14ac:dyDescent="0.2">
      <c r="A11" t="s">
        <v>211</v>
      </c>
      <c r="B11">
        <v>1</v>
      </c>
      <c r="C11">
        <v>52864.9</v>
      </c>
      <c r="D11">
        <v>1706</v>
      </c>
    </row>
    <row r="12" spans="1:4" x14ac:dyDescent="0.2">
      <c r="A12" t="s">
        <v>246</v>
      </c>
      <c r="B12">
        <v>1</v>
      </c>
      <c r="C12">
        <v>179074.6</v>
      </c>
      <c r="D12">
        <v>4010</v>
      </c>
    </row>
    <row r="13" spans="1:4" x14ac:dyDescent="0.2">
      <c r="A13" t="s">
        <v>309</v>
      </c>
      <c r="B13">
        <v>1</v>
      </c>
      <c r="C13">
        <v>294581.2</v>
      </c>
      <c r="D13">
        <v>8637</v>
      </c>
    </row>
    <row r="14" spans="1:4" x14ac:dyDescent="0.2">
      <c r="A14" t="s">
        <v>2537</v>
      </c>
      <c r="B14">
        <v>0</v>
      </c>
      <c r="C14">
        <v>43462.3</v>
      </c>
      <c r="D14">
        <v>1142</v>
      </c>
    </row>
    <row r="15" spans="1:4" x14ac:dyDescent="0.2">
      <c r="A15" t="s">
        <v>2540</v>
      </c>
      <c r="B15">
        <v>1</v>
      </c>
      <c r="C15">
        <v>801.30000000000007</v>
      </c>
      <c r="D15">
        <v>31</v>
      </c>
    </row>
    <row r="16" spans="1:4" x14ac:dyDescent="0.2">
      <c r="A16" t="s">
        <v>2544</v>
      </c>
      <c r="B16">
        <v>0</v>
      </c>
      <c r="C16">
        <v>78232.899999999994</v>
      </c>
      <c r="D16">
        <v>1323</v>
      </c>
    </row>
    <row r="17" spans="1:4" x14ac:dyDescent="0.2">
      <c r="A17" t="s">
        <v>373</v>
      </c>
      <c r="B17">
        <v>1</v>
      </c>
      <c r="C17">
        <v>544482.5</v>
      </c>
      <c r="D17">
        <v>10228</v>
      </c>
    </row>
    <row r="18" spans="1:4" x14ac:dyDescent="0.2">
      <c r="A18" t="s">
        <v>449</v>
      </c>
      <c r="B18">
        <v>1</v>
      </c>
      <c r="C18">
        <v>200006</v>
      </c>
      <c r="D18">
        <v>5248</v>
      </c>
    </row>
    <row r="19" spans="1:4" x14ac:dyDescent="0.2">
      <c r="A19" t="s">
        <v>2517</v>
      </c>
      <c r="B19">
        <v>1</v>
      </c>
      <c r="C19">
        <v>819274.4</v>
      </c>
      <c r="D19">
        <v>23911</v>
      </c>
    </row>
    <row r="20" spans="1:4" x14ac:dyDescent="0.2">
      <c r="A20" t="s">
        <v>493</v>
      </c>
      <c r="B20">
        <v>1</v>
      </c>
      <c r="C20">
        <v>893998.10000000009</v>
      </c>
      <c r="D20">
        <v>18427</v>
      </c>
    </row>
    <row r="21" spans="1:4" x14ac:dyDescent="0.2">
      <c r="A21" t="s">
        <v>2510</v>
      </c>
      <c r="B21">
        <v>1</v>
      </c>
      <c r="C21">
        <v>36842</v>
      </c>
      <c r="D21">
        <v>769</v>
      </c>
    </row>
    <row r="22" spans="1:4" x14ac:dyDescent="0.2">
      <c r="A22" t="s">
        <v>533</v>
      </c>
      <c r="B22">
        <v>1</v>
      </c>
      <c r="C22">
        <v>461659</v>
      </c>
      <c r="D22">
        <v>9423</v>
      </c>
    </row>
    <row r="23" spans="1:4" x14ac:dyDescent="0.2">
      <c r="A23" t="s">
        <v>2545</v>
      </c>
      <c r="B23">
        <v>0</v>
      </c>
      <c r="C23">
        <v>737803.5</v>
      </c>
      <c r="D23">
        <v>9516</v>
      </c>
    </row>
    <row r="24" spans="1:4" x14ac:dyDescent="0.2">
      <c r="A24" t="s">
        <v>622</v>
      </c>
      <c r="B24">
        <v>1</v>
      </c>
      <c r="C24">
        <v>7804036.2999999998</v>
      </c>
      <c r="D24">
        <v>148378</v>
      </c>
    </row>
    <row r="25" spans="1:4" x14ac:dyDescent="0.2">
      <c r="A25" t="s">
        <v>2522</v>
      </c>
      <c r="B25">
        <v>1</v>
      </c>
      <c r="C25">
        <v>109843.90000000001</v>
      </c>
      <c r="D25">
        <v>2563</v>
      </c>
    </row>
    <row r="26" spans="1:4" x14ac:dyDescent="0.2">
      <c r="A26" t="s">
        <v>1560</v>
      </c>
      <c r="B26">
        <v>1</v>
      </c>
      <c r="C26">
        <v>693.4</v>
      </c>
      <c r="D26">
        <v>13</v>
      </c>
    </row>
    <row r="27" spans="1:4" x14ac:dyDescent="0.2">
      <c r="A27" t="s">
        <v>2550</v>
      </c>
      <c r="B27">
        <v>0</v>
      </c>
      <c r="C27">
        <v>50360.5</v>
      </c>
      <c r="D27">
        <v>1197</v>
      </c>
    </row>
    <row r="28" spans="1:4" x14ac:dyDescent="0.2">
      <c r="A28" t="s">
        <v>947</v>
      </c>
      <c r="B28">
        <v>1</v>
      </c>
      <c r="C28">
        <v>37756.400000000001</v>
      </c>
      <c r="D28">
        <v>670</v>
      </c>
    </row>
    <row r="29" spans="1:4" x14ac:dyDescent="0.2">
      <c r="A29" t="s">
        <v>961</v>
      </c>
      <c r="B29">
        <v>1</v>
      </c>
      <c r="C29">
        <v>220259.5</v>
      </c>
      <c r="D29">
        <v>3561</v>
      </c>
    </row>
    <row r="30" spans="1:4" x14ac:dyDescent="0.2">
      <c r="A30" t="s">
        <v>2553</v>
      </c>
      <c r="B30">
        <v>0</v>
      </c>
      <c r="C30">
        <v>31010.2</v>
      </c>
      <c r="D30">
        <v>1468</v>
      </c>
    </row>
    <row r="31" spans="1:4" x14ac:dyDescent="0.2">
      <c r="A31" t="s">
        <v>2542</v>
      </c>
      <c r="B31">
        <v>0</v>
      </c>
      <c r="C31">
        <v>69173.7</v>
      </c>
      <c r="D31">
        <v>1922</v>
      </c>
    </row>
    <row r="32" spans="1:4" x14ac:dyDescent="0.2">
      <c r="A32" t="s">
        <v>1076</v>
      </c>
      <c r="B32">
        <v>1</v>
      </c>
      <c r="C32">
        <v>21474.400000000001</v>
      </c>
      <c r="D32">
        <v>681</v>
      </c>
    </row>
    <row r="33" spans="1:4" x14ac:dyDescent="0.2">
      <c r="A33" t="s">
        <v>1095</v>
      </c>
      <c r="B33">
        <v>1</v>
      </c>
      <c r="C33">
        <v>94934.5</v>
      </c>
      <c r="D33">
        <v>2345</v>
      </c>
    </row>
    <row r="34" spans="1:4" x14ac:dyDescent="0.2">
      <c r="A34" t="s">
        <v>1123</v>
      </c>
      <c r="B34">
        <v>1</v>
      </c>
      <c r="C34">
        <v>76863.100000000006</v>
      </c>
      <c r="D34">
        <v>2689</v>
      </c>
    </row>
    <row r="35" spans="1:4" x14ac:dyDescent="0.2">
      <c r="A35" t="s">
        <v>991</v>
      </c>
      <c r="B35">
        <v>1</v>
      </c>
      <c r="C35">
        <v>26924.3</v>
      </c>
      <c r="D35">
        <v>640</v>
      </c>
    </row>
    <row r="36" spans="1:4" x14ac:dyDescent="0.2">
      <c r="A36" t="s">
        <v>2535</v>
      </c>
      <c r="B36">
        <v>1</v>
      </c>
      <c r="C36">
        <v>39076.400000000001</v>
      </c>
      <c r="D36">
        <v>453</v>
      </c>
    </row>
    <row r="37" spans="1:4" x14ac:dyDescent="0.2">
      <c r="A37" t="s">
        <v>2525</v>
      </c>
      <c r="B37">
        <v>1</v>
      </c>
      <c r="C37">
        <v>72550.3</v>
      </c>
      <c r="D37">
        <v>703</v>
      </c>
    </row>
    <row r="38" spans="1:4" x14ac:dyDescent="0.2">
      <c r="A38" t="s">
        <v>1564</v>
      </c>
      <c r="B38">
        <v>1</v>
      </c>
      <c r="C38">
        <v>1518545.7000000002</v>
      </c>
      <c r="D38">
        <v>20064</v>
      </c>
    </row>
    <row r="39" spans="1:4" x14ac:dyDescent="0.2">
      <c r="A39" t="s">
        <v>2513</v>
      </c>
      <c r="B39">
        <v>1</v>
      </c>
      <c r="C39">
        <v>1139986.8999999999</v>
      </c>
      <c r="D39">
        <v>16622</v>
      </c>
    </row>
    <row r="40" spans="1:4" x14ac:dyDescent="0.2">
      <c r="A40" t="s">
        <v>2512</v>
      </c>
      <c r="B40">
        <v>1</v>
      </c>
      <c r="C40">
        <v>8869.7000000000007</v>
      </c>
      <c r="D40">
        <v>213</v>
      </c>
    </row>
    <row r="41" spans="1:4" x14ac:dyDescent="0.2">
      <c r="A41" t="s">
        <v>2552</v>
      </c>
      <c r="B41">
        <v>0</v>
      </c>
      <c r="C41">
        <v>43270.3</v>
      </c>
      <c r="D41">
        <v>653</v>
      </c>
    </row>
    <row r="42" spans="1:4" x14ac:dyDescent="0.2">
      <c r="A42" t="s">
        <v>2529</v>
      </c>
      <c r="B42">
        <v>1</v>
      </c>
      <c r="C42">
        <v>16206.9</v>
      </c>
      <c r="D42">
        <v>284</v>
      </c>
    </row>
    <row r="43" spans="1:4" x14ac:dyDescent="0.2">
      <c r="A43" t="s">
        <v>2533</v>
      </c>
      <c r="B43">
        <v>1</v>
      </c>
      <c r="C43">
        <v>18589.599999999999</v>
      </c>
      <c r="D43">
        <v>269</v>
      </c>
    </row>
    <row r="44" spans="1:4" x14ac:dyDescent="0.2">
      <c r="A44" t="s">
        <v>2541</v>
      </c>
      <c r="B44">
        <v>0</v>
      </c>
      <c r="C44">
        <v>307534.19999999995</v>
      </c>
      <c r="D44">
        <v>5771</v>
      </c>
    </row>
    <row r="45" spans="1:4" x14ac:dyDescent="0.2">
      <c r="A45" t="s">
        <v>1409</v>
      </c>
      <c r="B45">
        <v>1</v>
      </c>
      <c r="C45">
        <v>93850</v>
      </c>
      <c r="D45">
        <v>2288</v>
      </c>
    </row>
    <row r="46" spans="1:4" x14ac:dyDescent="0.2">
      <c r="A46" t="s">
        <v>2543</v>
      </c>
      <c r="B46">
        <v>0</v>
      </c>
      <c r="C46">
        <v>13034.4</v>
      </c>
      <c r="D46">
        <v>413</v>
      </c>
    </row>
    <row r="47" spans="1:4" x14ac:dyDescent="0.2">
      <c r="A47" t="s">
        <v>2539</v>
      </c>
      <c r="B47">
        <v>0</v>
      </c>
      <c r="C47">
        <v>31798</v>
      </c>
      <c r="D47">
        <v>2141</v>
      </c>
    </row>
    <row r="48" spans="1:4" x14ac:dyDescent="0.2">
      <c r="A48" t="s">
        <v>2528</v>
      </c>
      <c r="B48">
        <v>1</v>
      </c>
      <c r="C48">
        <v>1354.6</v>
      </c>
      <c r="D48">
        <v>97</v>
      </c>
    </row>
    <row r="49" spans="1:4" x14ac:dyDescent="0.2">
      <c r="A49" t="s">
        <v>2555</v>
      </c>
      <c r="C49">
        <f>SUM(C2:C48)</f>
        <v>20070767.899999999</v>
      </c>
      <c r="D49">
        <f>SUM(D2:D48)</f>
        <v>416015</v>
      </c>
    </row>
    <row r="50" spans="1:4" x14ac:dyDescent="0.2">
      <c r="A50" t="s">
        <v>2560</v>
      </c>
      <c r="B50">
        <v>32</v>
      </c>
    </row>
    <row r="51" spans="1:4" x14ac:dyDescent="0.2">
      <c r="A51" t="s">
        <v>2561</v>
      </c>
      <c r="B51">
        <v>47</v>
      </c>
    </row>
    <row r="52" spans="1:4" ht="16.5" x14ac:dyDescent="0.2">
      <c r="C52" s="19">
        <f>SUMIFS(C2:C48, B2:B48, 1)</f>
        <v>18000541.100000001</v>
      </c>
      <c r="D52" s="19">
        <f>SUMIFS(D2:D48, B2:B48, 1)</f>
        <v>367927</v>
      </c>
    </row>
    <row r="53" spans="1:4" x14ac:dyDescent="0.2">
      <c r="A53" t="s">
        <v>2562</v>
      </c>
      <c r="B53">
        <f>B50/B51</f>
        <v>0.68085106382978722</v>
      </c>
    </row>
    <row r="54" spans="1:4" x14ac:dyDescent="0.2">
      <c r="A54" t="s">
        <v>2564</v>
      </c>
      <c r="B54">
        <f>D52/D49</f>
        <v>0.88440801413410575</v>
      </c>
    </row>
    <row r="55" spans="1:4" x14ac:dyDescent="0.2">
      <c r="A55" t="s">
        <v>2563</v>
      </c>
      <c r="B55">
        <f>C52/C49</f>
        <v>0.89685363259070938</v>
      </c>
    </row>
    <row r="1048576" spans="3:3" x14ac:dyDescent="0.2">
      <c r="C1048576">
        <f>SUM(C2:C1048575)</f>
        <v>58142076.899999999</v>
      </c>
    </row>
  </sheetData>
  <autoFilter ref="B1:B54" xr:uid="{65D8126E-6335-40DA-B231-EEBD6B8118C0}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197C-8BF1-4552-83EA-97140957B3C3}">
  <dimension ref="A1:H79"/>
  <sheetViews>
    <sheetView tabSelected="1" topLeftCell="A49" workbookViewId="0">
      <selection activeCell="B1" sqref="B1:E79"/>
    </sheetView>
  </sheetViews>
  <sheetFormatPr defaultRowHeight="15" x14ac:dyDescent="0.25"/>
  <cols>
    <col min="1" max="1" width="9" style="13"/>
    <col min="2" max="3" width="17" style="13" customWidth="1"/>
    <col min="4" max="4" width="7.875" style="18" customWidth="1"/>
    <col min="5" max="5" width="11.5" style="18" customWidth="1"/>
  </cols>
  <sheetData>
    <row r="1" spans="1:8" x14ac:dyDescent="0.15">
      <c r="A1" s="11" t="s">
        <v>1619</v>
      </c>
      <c r="B1" s="11" t="s">
        <v>1620</v>
      </c>
      <c r="C1" s="11" t="s">
        <v>2558</v>
      </c>
      <c r="D1" s="17" t="s">
        <v>1624</v>
      </c>
      <c r="E1" s="17" t="s">
        <v>1627</v>
      </c>
      <c r="H1">
        <v>1</v>
      </c>
    </row>
    <row r="2" spans="1:8" x14ac:dyDescent="0.25">
      <c r="A2" s="13">
        <v>1</v>
      </c>
      <c r="B2" s="13" t="s">
        <v>246</v>
      </c>
      <c r="C2" s="13">
        <v>1</v>
      </c>
      <c r="D2">
        <v>179074.6</v>
      </c>
      <c r="E2">
        <v>4010</v>
      </c>
    </row>
    <row r="3" spans="1:8" x14ac:dyDescent="0.25">
      <c r="A3" s="13">
        <v>2</v>
      </c>
      <c r="B3" s="13" t="s">
        <v>622</v>
      </c>
      <c r="C3" s="13">
        <v>1</v>
      </c>
      <c r="D3">
        <v>65094.5</v>
      </c>
      <c r="E3">
        <v>1174</v>
      </c>
    </row>
    <row r="4" spans="1:8" x14ac:dyDescent="0.25">
      <c r="A4" s="13">
        <v>3</v>
      </c>
      <c r="B4" s="13" t="s">
        <v>1560</v>
      </c>
      <c r="C4" s="13">
        <v>1</v>
      </c>
      <c r="D4">
        <v>693.4</v>
      </c>
      <c r="E4">
        <v>13</v>
      </c>
    </row>
    <row r="5" spans="1:8" x14ac:dyDescent="0.25">
      <c r="A5" s="13">
        <v>4</v>
      </c>
      <c r="B5" s="13" t="s">
        <v>2537</v>
      </c>
      <c r="C5" s="13">
        <v>0</v>
      </c>
      <c r="D5">
        <v>43462.3</v>
      </c>
      <c r="E5">
        <v>1142</v>
      </c>
    </row>
    <row r="6" spans="1:8" x14ac:dyDescent="0.25">
      <c r="A6" s="13">
        <v>5</v>
      </c>
      <c r="B6" s="13" t="s">
        <v>2538</v>
      </c>
      <c r="C6" s="13">
        <v>0</v>
      </c>
      <c r="D6">
        <v>430891.4</v>
      </c>
      <c r="E6">
        <v>13330</v>
      </c>
    </row>
    <row r="7" spans="1:8" x14ac:dyDescent="0.25">
      <c r="A7" s="13">
        <v>6</v>
      </c>
      <c r="B7" s="13" t="s">
        <v>2539</v>
      </c>
      <c r="C7" s="13">
        <v>0</v>
      </c>
      <c r="D7">
        <v>31798</v>
      </c>
      <c r="E7">
        <v>2141</v>
      </c>
    </row>
    <row r="8" spans="1:8" x14ac:dyDescent="0.25">
      <c r="A8" s="13">
        <v>7</v>
      </c>
      <c r="B8" s="13" t="s">
        <v>1409</v>
      </c>
      <c r="C8" s="13">
        <v>1</v>
      </c>
      <c r="D8">
        <v>56219.8</v>
      </c>
      <c r="E8">
        <v>1576</v>
      </c>
    </row>
    <row r="9" spans="1:8" x14ac:dyDescent="0.25">
      <c r="A9" s="13">
        <v>8</v>
      </c>
      <c r="B9" s="13" t="s">
        <v>2540</v>
      </c>
      <c r="C9" s="13">
        <v>1</v>
      </c>
      <c r="D9">
        <v>37.200000000000003</v>
      </c>
      <c r="E9">
        <v>1</v>
      </c>
    </row>
    <row r="10" spans="1:8" x14ac:dyDescent="0.25">
      <c r="A10" s="13">
        <v>9</v>
      </c>
      <c r="B10" s="13" t="s">
        <v>10</v>
      </c>
      <c r="C10" s="13">
        <v>1</v>
      </c>
      <c r="D10">
        <v>184652.2</v>
      </c>
      <c r="E10">
        <v>5323</v>
      </c>
    </row>
    <row r="11" spans="1:8" x14ac:dyDescent="0.25">
      <c r="A11" s="13">
        <v>10</v>
      </c>
      <c r="B11" s="13" t="s">
        <v>2510</v>
      </c>
      <c r="C11" s="13">
        <v>1</v>
      </c>
      <c r="D11">
        <v>36842</v>
      </c>
      <c r="E11">
        <v>769</v>
      </c>
    </row>
    <row r="12" spans="1:8" x14ac:dyDescent="0.25">
      <c r="A12" s="13">
        <v>11</v>
      </c>
      <c r="B12" s="13" t="s">
        <v>2512</v>
      </c>
      <c r="C12" s="13">
        <v>1</v>
      </c>
      <c r="D12">
        <v>8869.7000000000007</v>
      </c>
      <c r="E12">
        <v>213</v>
      </c>
    </row>
    <row r="13" spans="1:8" x14ac:dyDescent="0.25">
      <c r="A13" s="13">
        <v>12</v>
      </c>
      <c r="B13" s="13" t="s">
        <v>2513</v>
      </c>
      <c r="C13" s="13">
        <v>1</v>
      </c>
      <c r="D13">
        <v>232820.8</v>
      </c>
      <c r="E13">
        <v>3323</v>
      </c>
    </row>
    <row r="14" spans="1:8" x14ac:dyDescent="0.25">
      <c r="A14" s="13">
        <v>13</v>
      </c>
      <c r="B14" s="13" t="s">
        <v>2517</v>
      </c>
      <c r="C14" s="13">
        <v>1</v>
      </c>
      <c r="D14">
        <v>81139.899999999994</v>
      </c>
      <c r="E14">
        <v>2261</v>
      </c>
    </row>
    <row r="15" spans="1:8" x14ac:dyDescent="0.25">
      <c r="A15" s="13">
        <v>14</v>
      </c>
      <c r="B15" s="13" t="s">
        <v>2541</v>
      </c>
      <c r="C15" s="13">
        <v>0</v>
      </c>
      <c r="D15">
        <v>298640.59999999998</v>
      </c>
      <c r="E15">
        <v>5610</v>
      </c>
    </row>
    <row r="16" spans="1:8" x14ac:dyDescent="0.25">
      <c r="A16" s="13">
        <v>15</v>
      </c>
      <c r="B16" s="13" t="s">
        <v>10</v>
      </c>
      <c r="C16" s="13">
        <v>1</v>
      </c>
      <c r="D16">
        <v>1026343.8</v>
      </c>
      <c r="E16">
        <v>29034</v>
      </c>
    </row>
    <row r="17" spans="1:5" x14ac:dyDescent="0.25">
      <c r="A17" s="13">
        <v>16</v>
      </c>
      <c r="B17" s="13" t="s">
        <v>2542</v>
      </c>
      <c r="C17" s="13">
        <v>0</v>
      </c>
      <c r="D17">
        <v>69173.7</v>
      </c>
      <c r="E17">
        <v>1922</v>
      </c>
    </row>
    <row r="18" spans="1:5" x14ac:dyDescent="0.25">
      <c r="A18" s="13">
        <v>17</v>
      </c>
      <c r="B18" s="13" t="s">
        <v>10</v>
      </c>
      <c r="C18" s="13">
        <v>1</v>
      </c>
      <c r="D18">
        <v>247933.7</v>
      </c>
      <c r="E18">
        <v>7057</v>
      </c>
    </row>
    <row r="19" spans="1:5" x14ac:dyDescent="0.25">
      <c r="A19" s="13">
        <v>18</v>
      </c>
      <c r="B19" s="13" t="s">
        <v>2543</v>
      </c>
      <c r="C19" s="13">
        <v>0</v>
      </c>
      <c r="D19">
        <v>13034.4</v>
      </c>
      <c r="E19">
        <v>413</v>
      </c>
    </row>
    <row r="20" spans="1:5" x14ac:dyDescent="0.25">
      <c r="A20" s="13">
        <v>19</v>
      </c>
      <c r="B20" s="13" t="s">
        <v>2517</v>
      </c>
      <c r="C20" s="13">
        <v>1</v>
      </c>
      <c r="D20">
        <v>665806.9</v>
      </c>
      <c r="E20">
        <v>19546</v>
      </c>
    </row>
    <row r="21" spans="1:5" x14ac:dyDescent="0.25">
      <c r="A21" s="13">
        <v>20</v>
      </c>
      <c r="B21" s="13" t="s">
        <v>622</v>
      </c>
      <c r="C21" s="13">
        <v>1</v>
      </c>
      <c r="D21">
        <v>165998.9</v>
      </c>
      <c r="E21">
        <v>2930</v>
      </c>
    </row>
    <row r="22" spans="1:5" x14ac:dyDescent="0.25">
      <c r="A22" s="13">
        <v>21</v>
      </c>
      <c r="B22" s="13" t="s">
        <v>991</v>
      </c>
      <c r="C22" s="13">
        <v>1</v>
      </c>
      <c r="D22">
        <v>26924.3</v>
      </c>
      <c r="E22">
        <v>640</v>
      </c>
    </row>
    <row r="23" spans="1:5" x14ac:dyDescent="0.25">
      <c r="A23" s="13">
        <v>22</v>
      </c>
      <c r="B23" s="13" t="s">
        <v>2544</v>
      </c>
      <c r="C23" s="13">
        <v>0</v>
      </c>
      <c r="D23">
        <v>78232.899999999994</v>
      </c>
      <c r="E23">
        <v>1323</v>
      </c>
    </row>
    <row r="24" spans="1:5" x14ac:dyDescent="0.25">
      <c r="A24" s="13">
        <v>23</v>
      </c>
      <c r="B24" s="13" t="s">
        <v>134</v>
      </c>
      <c r="C24" s="13">
        <v>1</v>
      </c>
      <c r="D24">
        <v>69924.399999999994</v>
      </c>
      <c r="E24">
        <v>1695</v>
      </c>
    </row>
    <row r="25" spans="1:5" x14ac:dyDescent="0.25">
      <c r="A25" s="13">
        <v>24</v>
      </c>
      <c r="B25" s="13" t="s">
        <v>2513</v>
      </c>
      <c r="C25" s="13">
        <v>1</v>
      </c>
      <c r="D25">
        <v>140350.9</v>
      </c>
      <c r="E25">
        <v>2065</v>
      </c>
    </row>
    <row r="26" spans="1:5" x14ac:dyDescent="0.25">
      <c r="A26" s="13">
        <v>25</v>
      </c>
      <c r="B26" s="13" t="s">
        <v>2522</v>
      </c>
      <c r="C26" s="13">
        <v>1</v>
      </c>
      <c r="D26">
        <v>26153.3</v>
      </c>
      <c r="E26">
        <v>662</v>
      </c>
    </row>
    <row r="27" spans="1:5" x14ac:dyDescent="0.25">
      <c r="A27" s="13">
        <v>26</v>
      </c>
      <c r="B27" s="13" t="s">
        <v>1564</v>
      </c>
      <c r="C27" s="13">
        <v>1</v>
      </c>
      <c r="D27">
        <v>190516.1</v>
      </c>
      <c r="E27">
        <v>2463</v>
      </c>
    </row>
    <row r="28" spans="1:5" x14ac:dyDescent="0.25">
      <c r="A28" s="13">
        <v>27</v>
      </c>
      <c r="B28" s="13" t="s">
        <v>1095</v>
      </c>
      <c r="C28" s="13">
        <v>1</v>
      </c>
      <c r="D28">
        <v>94934.5</v>
      </c>
      <c r="E28">
        <v>2345</v>
      </c>
    </row>
    <row r="29" spans="1:5" x14ac:dyDescent="0.25">
      <c r="A29" s="13">
        <v>28</v>
      </c>
      <c r="B29" s="13" t="s">
        <v>2545</v>
      </c>
      <c r="C29" s="13">
        <v>0</v>
      </c>
      <c r="D29">
        <v>125249.1</v>
      </c>
      <c r="E29">
        <v>1691</v>
      </c>
    </row>
    <row r="30" spans="1:5" x14ac:dyDescent="0.25">
      <c r="A30" s="13">
        <v>29</v>
      </c>
      <c r="B30" s="13" t="s">
        <v>1616</v>
      </c>
      <c r="C30" s="13">
        <v>1</v>
      </c>
      <c r="D30">
        <v>454203.7</v>
      </c>
      <c r="E30">
        <v>7256</v>
      </c>
    </row>
    <row r="31" spans="1:5" x14ac:dyDescent="0.25">
      <c r="A31" s="13">
        <v>30</v>
      </c>
      <c r="B31" s="13" t="s">
        <v>2546</v>
      </c>
      <c r="C31" s="13">
        <v>0</v>
      </c>
      <c r="D31">
        <v>72303.899999999994</v>
      </c>
      <c r="E31">
        <v>2123</v>
      </c>
    </row>
    <row r="32" spans="1:5" x14ac:dyDescent="0.25">
      <c r="A32" s="13">
        <v>31</v>
      </c>
      <c r="B32" s="13" t="s">
        <v>10</v>
      </c>
      <c r="C32" s="13">
        <v>1</v>
      </c>
      <c r="D32">
        <v>126657.7</v>
      </c>
      <c r="E32">
        <v>3627</v>
      </c>
    </row>
    <row r="33" spans="1:5" x14ac:dyDescent="0.25">
      <c r="A33" s="13">
        <v>32</v>
      </c>
      <c r="B33" s="13" t="s">
        <v>622</v>
      </c>
      <c r="C33" s="13">
        <v>1</v>
      </c>
      <c r="D33">
        <v>537819.19999999995</v>
      </c>
      <c r="E33">
        <v>9390</v>
      </c>
    </row>
    <row r="34" spans="1:5" x14ac:dyDescent="0.25">
      <c r="A34" s="13">
        <v>33</v>
      </c>
      <c r="B34" s="13" t="s">
        <v>1564</v>
      </c>
      <c r="C34" s="13">
        <v>1</v>
      </c>
      <c r="D34">
        <v>1195612.5</v>
      </c>
      <c r="E34">
        <v>15798</v>
      </c>
    </row>
    <row r="35" spans="1:5" x14ac:dyDescent="0.25">
      <c r="A35" s="13">
        <v>34</v>
      </c>
      <c r="B35" s="13" t="s">
        <v>2547</v>
      </c>
      <c r="C35" s="13">
        <v>0</v>
      </c>
      <c r="D35">
        <v>56257.2</v>
      </c>
      <c r="E35">
        <v>1378</v>
      </c>
    </row>
    <row r="36" spans="1:5" x14ac:dyDescent="0.25">
      <c r="A36" s="13">
        <v>35</v>
      </c>
      <c r="B36" s="13" t="s">
        <v>10</v>
      </c>
      <c r="C36" s="13">
        <v>1</v>
      </c>
      <c r="D36">
        <v>372945.9</v>
      </c>
      <c r="E36">
        <v>10881</v>
      </c>
    </row>
    <row r="37" spans="1:5" x14ac:dyDescent="0.25">
      <c r="A37" s="13">
        <v>36</v>
      </c>
      <c r="B37" s="13" t="s">
        <v>2525</v>
      </c>
      <c r="C37" s="13">
        <v>1</v>
      </c>
      <c r="D37">
        <v>72550.3</v>
      </c>
      <c r="E37">
        <v>703</v>
      </c>
    </row>
    <row r="38" spans="1:5" x14ac:dyDescent="0.25">
      <c r="A38" s="13">
        <v>37</v>
      </c>
      <c r="B38" s="13" t="s">
        <v>2548</v>
      </c>
      <c r="C38" s="13">
        <v>0</v>
      </c>
      <c r="D38">
        <v>28.1</v>
      </c>
      <c r="E38">
        <v>11</v>
      </c>
    </row>
    <row r="39" spans="1:5" x14ac:dyDescent="0.25">
      <c r="A39" s="13">
        <v>38</v>
      </c>
      <c r="B39" s="13" t="s">
        <v>449</v>
      </c>
      <c r="C39" s="13">
        <v>1</v>
      </c>
      <c r="D39">
        <v>200006</v>
      </c>
      <c r="E39">
        <v>5248</v>
      </c>
    </row>
    <row r="40" spans="1:5" x14ac:dyDescent="0.25">
      <c r="A40" s="13">
        <v>39</v>
      </c>
      <c r="B40" s="13" t="s">
        <v>1123</v>
      </c>
      <c r="C40" s="13">
        <v>1</v>
      </c>
      <c r="D40">
        <v>76863.100000000006</v>
      </c>
      <c r="E40">
        <v>2689</v>
      </c>
    </row>
    <row r="41" spans="1:5" x14ac:dyDescent="0.25">
      <c r="A41" s="13">
        <v>40</v>
      </c>
      <c r="B41" s="13" t="s">
        <v>2528</v>
      </c>
      <c r="C41" s="13">
        <v>1</v>
      </c>
      <c r="D41">
        <v>1354.6</v>
      </c>
      <c r="E41">
        <v>97</v>
      </c>
    </row>
    <row r="42" spans="1:5" x14ac:dyDescent="0.25">
      <c r="A42" s="13">
        <v>41</v>
      </c>
      <c r="B42" s="13" t="s">
        <v>2549</v>
      </c>
      <c r="C42" s="13">
        <v>0</v>
      </c>
      <c r="D42">
        <v>4798.1000000000004</v>
      </c>
      <c r="E42">
        <v>309</v>
      </c>
    </row>
    <row r="43" spans="1:5" x14ac:dyDescent="0.25">
      <c r="A43" s="13">
        <v>42</v>
      </c>
      <c r="B43" s="13" t="s">
        <v>2513</v>
      </c>
      <c r="C43" s="13">
        <v>1</v>
      </c>
      <c r="D43">
        <v>766815.2</v>
      </c>
      <c r="E43">
        <v>11234</v>
      </c>
    </row>
    <row r="44" spans="1:5" x14ac:dyDescent="0.25">
      <c r="A44" s="13">
        <v>43</v>
      </c>
      <c r="B44" s="13" t="s">
        <v>961</v>
      </c>
      <c r="C44" s="13">
        <v>1</v>
      </c>
      <c r="D44">
        <v>58226</v>
      </c>
      <c r="E44">
        <v>1043</v>
      </c>
    </row>
    <row r="45" spans="1:5" x14ac:dyDescent="0.25">
      <c r="A45" s="13">
        <v>44</v>
      </c>
      <c r="B45" s="13" t="s">
        <v>211</v>
      </c>
      <c r="C45" s="13">
        <v>1</v>
      </c>
      <c r="D45">
        <v>52864.9</v>
      </c>
      <c r="E45">
        <v>1706</v>
      </c>
    </row>
    <row r="46" spans="1:5" x14ac:dyDescent="0.25">
      <c r="A46" s="13">
        <v>45</v>
      </c>
      <c r="B46" s="13" t="s">
        <v>134</v>
      </c>
      <c r="C46" s="13">
        <v>1</v>
      </c>
      <c r="D46">
        <v>116138.7</v>
      </c>
      <c r="E46">
        <v>2913</v>
      </c>
    </row>
    <row r="47" spans="1:5" x14ac:dyDescent="0.25">
      <c r="A47" s="13">
        <v>46</v>
      </c>
      <c r="B47" s="13" t="s">
        <v>309</v>
      </c>
      <c r="C47" s="13">
        <v>1</v>
      </c>
      <c r="D47">
        <v>294581.2</v>
      </c>
      <c r="E47">
        <v>8637</v>
      </c>
    </row>
    <row r="48" spans="1:5" x14ac:dyDescent="0.25">
      <c r="A48" s="13">
        <v>47</v>
      </c>
      <c r="B48" s="13" t="s">
        <v>2529</v>
      </c>
      <c r="C48" s="13">
        <v>1</v>
      </c>
      <c r="D48">
        <v>16206.9</v>
      </c>
      <c r="E48">
        <v>284</v>
      </c>
    </row>
    <row r="49" spans="1:5" x14ac:dyDescent="0.25">
      <c r="A49" s="13">
        <v>48</v>
      </c>
      <c r="B49" s="13" t="s">
        <v>2550</v>
      </c>
      <c r="C49" s="13">
        <v>0</v>
      </c>
      <c r="D49">
        <v>50360.5</v>
      </c>
      <c r="E49">
        <v>1197</v>
      </c>
    </row>
    <row r="50" spans="1:5" x14ac:dyDescent="0.25">
      <c r="A50" s="13">
        <v>49</v>
      </c>
      <c r="B50" s="13" t="s">
        <v>1076</v>
      </c>
      <c r="C50" s="13">
        <v>1</v>
      </c>
      <c r="D50">
        <v>21474.400000000001</v>
      </c>
      <c r="E50">
        <v>681</v>
      </c>
    </row>
    <row r="51" spans="1:5" x14ac:dyDescent="0.25">
      <c r="A51" s="13">
        <v>50</v>
      </c>
      <c r="B51" s="13" t="s">
        <v>2545</v>
      </c>
      <c r="C51" s="13">
        <v>0</v>
      </c>
      <c r="D51">
        <v>612554.4</v>
      </c>
      <c r="E51">
        <v>7825</v>
      </c>
    </row>
    <row r="52" spans="1:5" x14ac:dyDescent="0.25">
      <c r="A52" s="13">
        <v>51</v>
      </c>
      <c r="B52" s="13" t="s">
        <v>2541</v>
      </c>
      <c r="C52" s="13">
        <v>0</v>
      </c>
      <c r="D52">
        <v>8893.6</v>
      </c>
      <c r="E52">
        <v>161</v>
      </c>
    </row>
    <row r="53" spans="1:5" x14ac:dyDescent="0.25">
      <c r="A53" s="13">
        <v>52</v>
      </c>
      <c r="B53" s="13" t="s">
        <v>533</v>
      </c>
      <c r="C53" s="13">
        <v>1</v>
      </c>
      <c r="D53">
        <v>382858.4</v>
      </c>
      <c r="E53">
        <v>7776</v>
      </c>
    </row>
    <row r="54" spans="1:5" x14ac:dyDescent="0.25">
      <c r="A54" s="13">
        <v>53</v>
      </c>
      <c r="B54" s="13" t="s">
        <v>622</v>
      </c>
      <c r="C54" s="13">
        <v>1</v>
      </c>
      <c r="D54">
        <v>1170650.7</v>
      </c>
      <c r="E54">
        <v>22334</v>
      </c>
    </row>
    <row r="55" spans="1:5" x14ac:dyDescent="0.25">
      <c r="A55" s="13">
        <v>54</v>
      </c>
      <c r="B55" s="13" t="s">
        <v>2551</v>
      </c>
      <c r="C55" s="13">
        <v>0</v>
      </c>
      <c r="D55">
        <v>102125.9</v>
      </c>
      <c r="E55">
        <v>5529</v>
      </c>
    </row>
    <row r="56" spans="1:5" x14ac:dyDescent="0.25">
      <c r="A56" s="13">
        <v>55</v>
      </c>
      <c r="B56" s="13" t="s">
        <v>373</v>
      </c>
      <c r="C56" s="13">
        <v>1</v>
      </c>
      <c r="D56">
        <v>143675.6</v>
      </c>
      <c r="E56">
        <v>2702</v>
      </c>
    </row>
    <row r="57" spans="1:5" x14ac:dyDescent="0.25">
      <c r="A57" s="13">
        <v>56</v>
      </c>
      <c r="B57" s="13" t="s">
        <v>961</v>
      </c>
      <c r="C57" s="13">
        <v>1</v>
      </c>
      <c r="D57">
        <v>162033.5</v>
      </c>
      <c r="E57">
        <v>2518</v>
      </c>
    </row>
    <row r="58" spans="1:5" x14ac:dyDescent="0.25">
      <c r="A58" s="13">
        <v>57</v>
      </c>
      <c r="B58" s="13" t="s">
        <v>2551</v>
      </c>
      <c r="C58" s="13">
        <v>0</v>
      </c>
      <c r="D58">
        <v>2940.3</v>
      </c>
      <c r="E58">
        <v>171</v>
      </c>
    </row>
    <row r="59" spans="1:5" x14ac:dyDescent="0.25">
      <c r="A59" s="13">
        <v>58</v>
      </c>
      <c r="B59" s="13" t="s">
        <v>622</v>
      </c>
      <c r="C59" s="13">
        <v>1</v>
      </c>
      <c r="D59">
        <v>960655</v>
      </c>
      <c r="E59">
        <v>17378</v>
      </c>
    </row>
    <row r="60" spans="1:5" x14ac:dyDescent="0.25">
      <c r="A60" s="13">
        <v>59</v>
      </c>
      <c r="B60" s="13" t="s">
        <v>2552</v>
      </c>
      <c r="C60" s="13">
        <v>0</v>
      </c>
      <c r="D60">
        <v>43270.3</v>
      </c>
      <c r="E60">
        <v>653</v>
      </c>
    </row>
    <row r="61" spans="1:5" x14ac:dyDescent="0.25">
      <c r="A61" s="13">
        <v>60</v>
      </c>
      <c r="B61" s="13" t="s">
        <v>947</v>
      </c>
      <c r="C61" s="13">
        <v>1</v>
      </c>
      <c r="D61">
        <v>37756.400000000001</v>
      </c>
      <c r="E61">
        <v>670</v>
      </c>
    </row>
    <row r="62" spans="1:5" x14ac:dyDescent="0.25">
      <c r="A62" s="13">
        <v>61</v>
      </c>
      <c r="B62" s="13" t="s">
        <v>2533</v>
      </c>
      <c r="C62" s="13">
        <v>1</v>
      </c>
      <c r="D62">
        <v>18589.599999999999</v>
      </c>
      <c r="E62">
        <v>269</v>
      </c>
    </row>
    <row r="63" spans="1:5" x14ac:dyDescent="0.25">
      <c r="A63" s="13">
        <v>62</v>
      </c>
      <c r="B63" s="13" t="s">
        <v>1564</v>
      </c>
      <c r="C63" s="13">
        <v>1</v>
      </c>
      <c r="D63">
        <v>132417.1</v>
      </c>
      <c r="E63">
        <v>1803</v>
      </c>
    </row>
    <row r="64" spans="1:5" x14ac:dyDescent="0.25">
      <c r="A64" s="13">
        <v>63</v>
      </c>
      <c r="B64" s="13" t="s">
        <v>493</v>
      </c>
      <c r="C64" s="13">
        <v>1</v>
      </c>
      <c r="D64">
        <v>238826</v>
      </c>
      <c r="E64">
        <v>4844</v>
      </c>
    </row>
    <row r="65" spans="1:5" x14ac:dyDescent="0.25">
      <c r="A65" s="13">
        <v>64</v>
      </c>
      <c r="B65" s="13" t="s">
        <v>493</v>
      </c>
      <c r="C65" s="13">
        <v>1</v>
      </c>
      <c r="D65">
        <v>197467.7</v>
      </c>
      <c r="E65">
        <v>4167</v>
      </c>
    </row>
    <row r="66" spans="1:5" x14ac:dyDescent="0.25">
      <c r="A66" s="13">
        <v>65</v>
      </c>
      <c r="B66" s="13" t="s">
        <v>1409</v>
      </c>
      <c r="C66" s="13">
        <v>1</v>
      </c>
      <c r="D66">
        <v>37630.199999999997</v>
      </c>
      <c r="E66">
        <v>712</v>
      </c>
    </row>
    <row r="67" spans="1:5" x14ac:dyDescent="0.25">
      <c r="A67" s="13">
        <v>66</v>
      </c>
      <c r="B67" s="13" t="s">
        <v>373</v>
      </c>
      <c r="C67" s="13">
        <v>1</v>
      </c>
      <c r="D67">
        <v>400806.9</v>
      </c>
      <c r="E67">
        <v>7526</v>
      </c>
    </row>
    <row r="68" spans="1:5" x14ac:dyDescent="0.25">
      <c r="A68" s="13">
        <v>68</v>
      </c>
      <c r="B68" s="13" t="s">
        <v>622</v>
      </c>
      <c r="C68" s="13">
        <v>1</v>
      </c>
      <c r="D68">
        <v>488561.8</v>
      </c>
      <c r="E68">
        <v>9816</v>
      </c>
    </row>
    <row r="69" spans="1:5" x14ac:dyDescent="0.25">
      <c r="A69" s="13">
        <v>69</v>
      </c>
      <c r="B69" s="13" t="s">
        <v>622</v>
      </c>
      <c r="C69" s="13">
        <v>1</v>
      </c>
      <c r="D69">
        <v>4382048.2</v>
      </c>
      <c r="E69">
        <v>84697</v>
      </c>
    </row>
    <row r="70" spans="1:5" x14ac:dyDescent="0.25">
      <c r="A70" s="13">
        <v>70</v>
      </c>
      <c r="B70" s="13" t="s">
        <v>2535</v>
      </c>
      <c r="C70" s="13">
        <v>1</v>
      </c>
      <c r="D70">
        <v>39076.400000000001</v>
      </c>
      <c r="E70">
        <v>453</v>
      </c>
    </row>
    <row r="71" spans="1:5" x14ac:dyDescent="0.25">
      <c r="A71" s="13">
        <v>71</v>
      </c>
      <c r="B71" s="13" t="s">
        <v>134</v>
      </c>
      <c r="C71" s="13">
        <v>1</v>
      </c>
      <c r="D71">
        <v>404384.4</v>
      </c>
      <c r="E71">
        <v>10137</v>
      </c>
    </row>
    <row r="72" spans="1:5" x14ac:dyDescent="0.25">
      <c r="A72" s="13">
        <v>72</v>
      </c>
      <c r="B72" s="13" t="s">
        <v>622</v>
      </c>
      <c r="C72" s="13">
        <v>1</v>
      </c>
      <c r="D72">
        <v>33208</v>
      </c>
      <c r="E72">
        <v>659</v>
      </c>
    </row>
    <row r="73" spans="1:5" x14ac:dyDescent="0.25">
      <c r="A73" s="13">
        <v>73</v>
      </c>
      <c r="B73" s="13" t="s">
        <v>1614</v>
      </c>
      <c r="C73" s="13">
        <v>1</v>
      </c>
      <c r="D73">
        <v>211956.7</v>
      </c>
      <c r="E73">
        <v>5081</v>
      </c>
    </row>
    <row r="74" spans="1:5" x14ac:dyDescent="0.25">
      <c r="A74" s="13">
        <v>74</v>
      </c>
      <c r="B74" s="13" t="s">
        <v>2517</v>
      </c>
      <c r="C74" s="13">
        <v>1</v>
      </c>
      <c r="D74">
        <v>72327.600000000006</v>
      </c>
      <c r="E74">
        <v>2104</v>
      </c>
    </row>
    <row r="75" spans="1:5" x14ac:dyDescent="0.25">
      <c r="A75" s="13">
        <v>75</v>
      </c>
      <c r="B75" s="13" t="s">
        <v>533</v>
      </c>
      <c r="C75" s="13">
        <v>1</v>
      </c>
      <c r="D75">
        <v>78800.600000000006</v>
      </c>
      <c r="E75">
        <v>1647</v>
      </c>
    </row>
    <row r="76" spans="1:5" x14ac:dyDescent="0.25">
      <c r="A76" s="13">
        <v>76</v>
      </c>
      <c r="B76" s="13" t="s">
        <v>493</v>
      </c>
      <c r="C76" s="13">
        <v>1</v>
      </c>
      <c r="D76">
        <v>457704.4</v>
      </c>
      <c r="E76">
        <v>9416</v>
      </c>
    </row>
    <row r="77" spans="1:5" x14ac:dyDescent="0.25">
      <c r="A77" s="13">
        <v>77</v>
      </c>
      <c r="B77" s="13" t="s">
        <v>2522</v>
      </c>
      <c r="C77" s="13">
        <v>1</v>
      </c>
      <c r="D77">
        <v>83690.600000000006</v>
      </c>
      <c r="E77">
        <v>1901</v>
      </c>
    </row>
    <row r="78" spans="1:5" x14ac:dyDescent="0.25">
      <c r="A78" s="13">
        <v>78</v>
      </c>
      <c r="B78" s="13" t="s">
        <v>2540</v>
      </c>
      <c r="C78" s="13">
        <v>1</v>
      </c>
      <c r="D78">
        <v>764.1</v>
      </c>
      <c r="E78">
        <v>30</v>
      </c>
    </row>
    <row r="79" spans="1:5" x14ac:dyDescent="0.25">
      <c r="A79" s="13">
        <v>79</v>
      </c>
      <c r="B79" s="13" t="s">
        <v>2553</v>
      </c>
      <c r="C79" s="13">
        <v>0</v>
      </c>
      <c r="D79">
        <v>31010.2</v>
      </c>
      <c r="E79">
        <v>1468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file_analysis_results_20251229_</vt:lpstr>
      <vt:lpstr>SelfDeveloped</vt:lpstr>
      <vt:lpstr>Sales</vt:lpstr>
      <vt:lpstr>自研固件占比透视表</vt:lpstr>
      <vt:lpstr>自研固件占比</vt:lpstr>
      <vt:lpstr>固件销量表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</cp:lastModifiedBy>
  <dcterms:created xsi:type="dcterms:W3CDTF">2025-12-29T01:23:33Z</dcterms:created>
  <dcterms:modified xsi:type="dcterms:W3CDTF">2025-12-29T10:50:40Z</dcterms:modified>
</cp:coreProperties>
</file>